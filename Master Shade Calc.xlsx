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autoCompressPictures="0"/>
  <mc:AlternateContent xmlns:mc="http://schemas.openxmlformats.org/markup-compatibility/2006">
    <mc:Choice Requires="x15">
      <x15ac:absPath xmlns:x15ac="http://schemas.microsoft.com/office/spreadsheetml/2010/11/ac" url="https://d.docs.live.net/18619576aa200314/Desktop/Sun Safe Shade Sails/Things to save/"/>
    </mc:Choice>
  </mc:AlternateContent>
  <xr:revisionPtr revIDLastSave="2" documentId="13_ncr:1_{BF67EFC6-9C0D-4222-988A-356C449558D1}" xr6:coauthVersionLast="47" xr6:coauthVersionMax="47" xr10:uidLastSave="{302E50BC-F65F-4EBC-BDA1-5CBB369ED7D8}"/>
  <workbookProtection lockStructure="1"/>
  <bookViews>
    <workbookView xWindow="14295" yWindow="0" windowWidth="14610" windowHeight="15585" tabRatio="652" activeTab="2" xr2:uid="{00000000-000D-0000-FFFF-FFFF00000000}"/>
  </bookViews>
  <sheets>
    <sheet name="Details" sheetId="1" r:id="rId1"/>
    <sheet name="Main" sheetId="2" r:id="rId2"/>
    <sheet name="Print" sheetId="3" r:id="rId3"/>
    <sheet name="SaveControl" sheetId="4" state="hidden" r:id="rId4"/>
    <sheet name="shade check" sheetId="5" r:id="rId5"/>
  </sheets>
  <definedNames>
    <definedName name="Cablestyle">Print!$AK$50:$AK$59</definedName>
    <definedName name="HEIGHT">'shade check'!$H$11:$I$18</definedName>
    <definedName name="m">#REF!</definedName>
    <definedName name="_xlnm.Print_Area" localSheetId="0">Details!$A$1:$F$31</definedName>
    <definedName name="_xlnm.Print_Area" localSheetId="1">Main!$A$1:$O$43</definedName>
    <definedName name="_xlnm.Print_Area" localSheetId="2">Print!$C$2:$P$69</definedName>
    <definedName name="_xlnm.Print_Area" localSheetId="4">'shade check'!$A$2:$O$59</definedName>
    <definedName name="X">'shade check'!$BG$38:$BG$48</definedName>
    <definedName name="Y">'shade check'!$BH$38:$BH$48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5" i="3" l="1"/>
  <c r="F7" i="3" l="1"/>
  <c r="F6" i="3"/>
  <c r="N8" i="3"/>
  <c r="N17" i="2"/>
  <c r="O18" i="3" s="1"/>
  <c r="M15" i="5" s="1"/>
  <c r="AK15" i="5" s="1"/>
  <c r="N18" i="2"/>
  <c r="O19" i="3" s="1"/>
  <c r="M16" i="5" s="1"/>
  <c r="AK16" i="5" s="1"/>
  <c r="N14" i="3"/>
  <c r="L11" i="5" s="1"/>
  <c r="N15" i="3"/>
  <c r="L12" i="5" s="1"/>
  <c r="N16" i="3"/>
  <c r="N17" i="3"/>
  <c r="L14" i="5" s="1"/>
  <c r="F13" i="2"/>
  <c r="F14" i="2"/>
  <c r="F15" i="2"/>
  <c r="F16" i="2"/>
  <c r="F17" i="2"/>
  <c r="G18" i="3" s="1"/>
  <c r="F15" i="5" s="1"/>
  <c r="F18" i="2"/>
  <c r="D28" i="3"/>
  <c r="D25" i="5" s="1"/>
  <c r="D29" i="3"/>
  <c r="D26" i="5" s="1"/>
  <c r="D30" i="3"/>
  <c r="D27" i="5" s="1"/>
  <c r="D31" i="3"/>
  <c r="D28" i="5" s="1"/>
  <c r="D32" i="3"/>
  <c r="D33" i="3"/>
  <c r="D30" i="5" s="1"/>
  <c r="D34" i="3"/>
  <c r="D31" i="5" s="1"/>
  <c r="D35" i="3"/>
  <c r="D32" i="5" s="1"/>
  <c r="D36" i="3"/>
  <c r="D33" i="5" s="1"/>
  <c r="D37" i="3"/>
  <c r="D34" i="5" s="1"/>
  <c r="D38" i="3"/>
  <c r="D35" i="5" s="1"/>
  <c r="D39" i="3"/>
  <c r="D36" i="5" s="1"/>
  <c r="D40" i="3"/>
  <c r="D37" i="5" s="1"/>
  <c r="D41" i="3"/>
  <c r="L14" i="3"/>
  <c r="I11" i="5" s="1"/>
  <c r="L15" i="3"/>
  <c r="I12" i="5" s="1"/>
  <c r="L16" i="3"/>
  <c r="I13" i="5" s="1"/>
  <c r="L17" i="3"/>
  <c r="I14" i="5" s="1"/>
  <c r="L18" i="3"/>
  <c r="L19" i="3"/>
  <c r="I16" i="5" s="1"/>
  <c r="L20" i="3"/>
  <c r="M14" i="3"/>
  <c r="K11" i="5" s="1"/>
  <c r="M15" i="3"/>
  <c r="M16" i="3"/>
  <c r="M17" i="3"/>
  <c r="M18" i="3"/>
  <c r="K15" i="5" s="1"/>
  <c r="M19" i="3"/>
  <c r="M20" i="3"/>
  <c r="D14" i="3"/>
  <c r="D11" i="5" s="1"/>
  <c r="D12" i="5"/>
  <c r="G9" i="3"/>
  <c r="G7" i="5" s="1"/>
  <c r="D16" i="3"/>
  <c r="D13" i="5" s="1"/>
  <c r="P15" i="3"/>
  <c r="O12" i="5" s="1"/>
  <c r="I15" i="5"/>
  <c r="D29" i="5"/>
  <c r="D38" i="5"/>
  <c r="D42" i="3"/>
  <c r="D39" i="5" s="1"/>
  <c r="D43" i="3"/>
  <c r="D40" i="5" s="1"/>
  <c r="D44" i="3"/>
  <c r="D41" i="5" s="1"/>
  <c r="D45" i="3"/>
  <c r="D42" i="5"/>
  <c r="D46" i="3"/>
  <c r="D43" i="5" s="1"/>
  <c r="D47" i="3"/>
  <c r="D44" i="5" s="1"/>
  <c r="P14" i="3"/>
  <c r="O11" i="5"/>
  <c r="D19" i="3"/>
  <c r="D16" i="5" s="1"/>
  <c r="Q12" i="5"/>
  <c r="D18" i="3"/>
  <c r="D15" i="5" s="1"/>
  <c r="D17" i="3"/>
  <c r="D14" i="5" s="1"/>
  <c r="AX39" i="5"/>
  <c r="P16" i="3"/>
  <c r="O13" i="5" s="1"/>
  <c r="AX40" i="5"/>
  <c r="P17" i="3"/>
  <c r="O14" i="5" s="1"/>
  <c r="P18" i="3"/>
  <c r="O15" i="5" s="1"/>
  <c r="P19" i="3"/>
  <c r="O16" i="5" s="1"/>
  <c r="D20" i="3"/>
  <c r="D17" i="5" s="1"/>
  <c r="L8" i="3"/>
  <c r="L7" i="3"/>
  <c r="O23" i="3"/>
  <c r="O24" i="3"/>
  <c r="O22" i="3"/>
  <c r="D21" i="3"/>
  <c r="Q18" i="2"/>
  <c r="Q15" i="2"/>
  <c r="Q14" i="2"/>
  <c r="N13" i="2" s="1"/>
  <c r="Q13" i="2"/>
  <c r="N15" i="2" s="1"/>
  <c r="F19" i="2"/>
  <c r="F20" i="2"/>
  <c r="N10" i="3"/>
  <c r="N9" i="3"/>
  <c r="N6" i="3"/>
  <c r="N7" i="3"/>
  <c r="AA118" i="2"/>
  <c r="AA95" i="2"/>
  <c r="AA96" i="2"/>
  <c r="AA97" i="2"/>
  <c r="AA98" i="2"/>
  <c r="AA99" i="2"/>
  <c r="AA100"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N18" i="3"/>
  <c r="N19" i="3"/>
  <c r="L16" i="5" s="1"/>
  <c r="N20" i="3"/>
  <c r="F5" i="3"/>
  <c r="F3" i="3"/>
  <c r="F4" i="3"/>
  <c r="F2" i="2"/>
  <c r="C18" i="4" s="1"/>
  <c r="L2" i="2"/>
  <c r="F3" i="2"/>
  <c r="L3" i="2"/>
  <c r="L4" i="2"/>
  <c r="M4" i="2"/>
  <c r="C11" i="2"/>
  <c r="F11" i="2"/>
  <c r="B70" i="4" s="1"/>
  <c r="L11" i="2"/>
  <c r="B85" i="4" s="1"/>
  <c r="M11" i="2"/>
  <c r="C13" i="2"/>
  <c r="B26" i="4"/>
  <c r="I13" i="2"/>
  <c r="B34" i="4"/>
  <c r="C14" i="2"/>
  <c r="B27" i="4" s="1"/>
  <c r="I14" i="2"/>
  <c r="B35" i="4" s="1"/>
  <c r="I15" i="2"/>
  <c r="B36" i="4" s="1"/>
  <c r="C22" i="2"/>
  <c r="F45" i="2"/>
  <c r="D103" i="4"/>
  <c r="Z93" i="2"/>
  <c r="AA93" i="2"/>
  <c r="Z94" i="2"/>
  <c r="AA94" i="2"/>
  <c r="Z95" i="2"/>
  <c r="Z96" i="2"/>
  <c r="Z97" i="2"/>
  <c r="Z98" i="2"/>
  <c r="Z99" i="2"/>
  <c r="Z100" i="2"/>
  <c r="Z101" i="2"/>
  <c r="AA101" i="2"/>
  <c r="Z102" i="2"/>
  <c r="AA102" i="2"/>
  <c r="Z103" i="2"/>
  <c r="AA103" i="2"/>
  <c r="AA104" i="2"/>
  <c r="AA105" i="2"/>
  <c r="AA106" i="2"/>
  <c r="AA107" i="2"/>
  <c r="AA108" i="2"/>
  <c r="AA109" i="2"/>
  <c r="AA110" i="2"/>
  <c r="AA111" i="2"/>
  <c r="AA112" i="2"/>
  <c r="AA113" i="2"/>
  <c r="AA114" i="2"/>
  <c r="AA115" i="2"/>
  <c r="AA116" i="2"/>
  <c r="AA117" i="2"/>
  <c r="F2" i="3"/>
  <c r="AD111" i="3"/>
  <c r="C12" i="3"/>
  <c r="G12" i="3"/>
  <c r="M12" i="3"/>
  <c r="N12" i="3"/>
  <c r="C14" i="3"/>
  <c r="E14" i="3"/>
  <c r="E11" i="5"/>
  <c r="G14" i="3"/>
  <c r="F11" i="5" s="1"/>
  <c r="I14" i="3"/>
  <c r="G11" i="5" s="1"/>
  <c r="K14" i="3"/>
  <c r="C15" i="3"/>
  <c r="E15" i="3"/>
  <c r="E12" i="5" s="1"/>
  <c r="G15" i="3"/>
  <c r="F12" i="5" s="1"/>
  <c r="I15" i="3"/>
  <c r="G12" i="5" s="1"/>
  <c r="K15" i="3"/>
  <c r="K12" i="5"/>
  <c r="E16" i="3"/>
  <c r="E13" i="5" s="1"/>
  <c r="G16" i="3"/>
  <c r="F13" i="5" s="1"/>
  <c r="I16" i="3"/>
  <c r="G13" i="5" s="1"/>
  <c r="K16" i="3"/>
  <c r="K13" i="5"/>
  <c r="E17" i="3"/>
  <c r="E14" i="5"/>
  <c r="G17" i="3"/>
  <c r="F14" i="5" s="1"/>
  <c r="I17" i="3"/>
  <c r="G14" i="5" s="1"/>
  <c r="E18" i="3"/>
  <c r="E15" i="5"/>
  <c r="I18" i="3"/>
  <c r="G15" i="5" s="1"/>
  <c r="L15" i="5"/>
  <c r="E19" i="3"/>
  <c r="E16" i="5" s="1"/>
  <c r="I19" i="3"/>
  <c r="G16" i="5" s="1"/>
  <c r="K16" i="5"/>
  <c r="E20" i="3"/>
  <c r="E17" i="5" s="1"/>
  <c r="I20" i="3"/>
  <c r="G17" i="5" s="1"/>
  <c r="K17" i="5"/>
  <c r="L17" i="5"/>
  <c r="P20" i="3"/>
  <c r="D18" i="5"/>
  <c r="E21" i="3"/>
  <c r="I21" i="3"/>
  <c r="G18" i="5" s="1"/>
  <c r="L21" i="3"/>
  <c r="I18" i="5"/>
  <c r="M21" i="3"/>
  <c r="K18" i="5" s="1"/>
  <c r="N21" i="3"/>
  <c r="L18" i="5" s="1"/>
  <c r="P21" i="3"/>
  <c r="O18" i="5" s="1"/>
  <c r="G23" i="3"/>
  <c r="C26" i="3"/>
  <c r="B28" i="3"/>
  <c r="B29" i="3"/>
  <c r="B30" i="3"/>
  <c r="B31" i="3"/>
  <c r="B32" i="3"/>
  <c r="B33" i="3"/>
  <c r="B34" i="3"/>
  <c r="B35" i="3"/>
  <c r="B36" i="3"/>
  <c r="B37" i="3"/>
  <c r="B38" i="3"/>
  <c r="B39" i="3"/>
  <c r="B40" i="3"/>
  <c r="B41" i="3"/>
  <c r="B42" i="3"/>
  <c r="B43" i="3"/>
  <c r="B44" i="3"/>
  <c r="B45" i="3"/>
  <c r="B46" i="3"/>
  <c r="B47" i="3"/>
  <c r="C49" i="3"/>
  <c r="D49" i="3"/>
  <c r="AE51" i="3"/>
  <c r="AD52" i="3"/>
  <c r="AE52" i="3"/>
  <c r="AE53" i="3"/>
  <c r="B2" i="4"/>
  <c r="C2" i="4"/>
  <c r="B3" i="4"/>
  <c r="C3" i="4"/>
  <c r="B4" i="4"/>
  <c r="C4" i="4"/>
  <c r="B5" i="4"/>
  <c r="C5" i="4"/>
  <c r="B6" i="4"/>
  <c r="C6" i="4"/>
  <c r="B7" i="4"/>
  <c r="C7" i="4"/>
  <c r="B8" i="4"/>
  <c r="C8" i="4"/>
  <c r="B9" i="4"/>
  <c r="C9" i="4"/>
  <c r="B10" i="4"/>
  <c r="C10" i="4"/>
  <c r="B11" i="4"/>
  <c r="C11" i="4"/>
  <c r="B12" i="4"/>
  <c r="C12" i="4"/>
  <c r="B13" i="4"/>
  <c r="C13" i="4"/>
  <c r="B14" i="4"/>
  <c r="C14" i="4"/>
  <c r="C15" i="4"/>
  <c r="B16" i="4"/>
  <c r="C16" i="4"/>
  <c r="B17" i="4"/>
  <c r="C17" i="4"/>
  <c r="B18" i="4"/>
  <c r="D18" i="4"/>
  <c r="B19" i="4"/>
  <c r="C19" i="4"/>
  <c r="B20" i="4"/>
  <c r="C20" i="4"/>
  <c r="B21" i="4"/>
  <c r="C21" i="4"/>
  <c r="B22" i="4"/>
  <c r="C22" i="4"/>
  <c r="B23" i="4"/>
  <c r="D23" i="4"/>
  <c r="B24"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D69" i="4"/>
  <c r="C70" i="4"/>
  <c r="D70" i="4"/>
  <c r="C71" i="4"/>
  <c r="C72" i="4"/>
  <c r="C77" i="4"/>
  <c r="C78" i="4"/>
  <c r="C79" i="4"/>
  <c r="C80" i="4"/>
  <c r="C81" i="4"/>
  <c r="C82" i="4"/>
  <c r="C83" i="4"/>
  <c r="C84" i="4"/>
  <c r="C85" i="4"/>
  <c r="C86" i="4"/>
  <c r="C87" i="4"/>
  <c r="C88" i="4"/>
  <c r="C89" i="4"/>
  <c r="C90" i="4"/>
  <c r="C91" i="4"/>
  <c r="C92" i="4"/>
  <c r="C93" i="4"/>
  <c r="C94" i="4"/>
  <c r="C95" i="4"/>
  <c r="C96" i="4"/>
  <c r="C97" i="4"/>
  <c r="C98" i="4"/>
  <c r="C99" i="4"/>
  <c r="C100" i="4"/>
  <c r="B101" i="4"/>
  <c r="B102" i="4"/>
  <c r="B103" i="4"/>
  <c r="B104" i="4"/>
  <c r="B105" i="4"/>
  <c r="D105" i="4"/>
  <c r="B106" i="4"/>
  <c r="D106" i="4"/>
  <c r="B107" i="4"/>
  <c r="D107" i="4"/>
  <c r="B108" i="4"/>
  <c r="D108" i="4"/>
  <c r="B109" i="4"/>
  <c r="C109" i="4"/>
  <c r="B110" i="4"/>
  <c r="C110" i="4"/>
  <c r="B111" i="4"/>
  <c r="C111" i="4"/>
  <c r="B112" i="4"/>
  <c r="C112" i="4"/>
  <c r="B113" i="4"/>
  <c r="C113" i="4"/>
  <c r="B114" i="4"/>
  <c r="C114" i="4"/>
  <c r="B115" i="4"/>
  <c r="C115" i="4"/>
  <c r="B116" i="4"/>
  <c r="C116" i="4"/>
  <c r="Q11" i="5"/>
  <c r="R11" i="5"/>
  <c r="S11" i="5"/>
  <c r="T11" i="5"/>
  <c r="U11" i="5"/>
  <c r="V11" i="5"/>
  <c r="W11" i="5"/>
  <c r="X11" i="5"/>
  <c r="AH11" i="5"/>
  <c r="AN13" i="5" s="1"/>
  <c r="R12" i="5"/>
  <c r="S12" i="5"/>
  <c r="T12" i="5"/>
  <c r="U12" i="5"/>
  <c r="V12" i="5"/>
  <c r="W12" i="5"/>
  <c r="X12" i="5"/>
  <c r="L13" i="5"/>
  <c r="K14" i="5"/>
  <c r="I17" i="5"/>
  <c r="O17" i="5"/>
  <c r="E18" i="5"/>
  <c r="AG18" i="5"/>
  <c r="AM34" i="5" s="1"/>
  <c r="AH18" i="5"/>
  <c r="AN34" i="5" s="1"/>
  <c r="L19" i="5"/>
  <c r="I21" i="5"/>
  <c r="I22" i="5"/>
  <c r="I23" i="5"/>
  <c r="I24" i="5"/>
  <c r="I25" i="5"/>
  <c r="I26" i="5"/>
  <c r="N20" i="2"/>
  <c r="O21" i="3" s="1"/>
  <c r="M18" i="5" s="1"/>
  <c r="AK18" i="5" s="1"/>
  <c r="N19" i="2"/>
  <c r="O20" i="3" s="1"/>
  <c r="M17" i="5" s="1"/>
  <c r="AK17" i="5" s="1"/>
  <c r="G20" i="3"/>
  <c r="F17" i="5"/>
  <c r="C74" i="4"/>
  <c r="AD107" i="3"/>
  <c r="AD99" i="3"/>
  <c r="C75" i="4"/>
  <c r="G19" i="3"/>
  <c r="F16" i="5"/>
  <c r="G21" i="3"/>
  <c r="F18" i="5" s="1"/>
  <c r="C76" i="4"/>
  <c r="AD100" i="3"/>
  <c r="AP41" i="5"/>
  <c r="D101" i="4"/>
  <c r="B69" i="4"/>
  <c r="B71" i="4"/>
  <c r="B93" i="4"/>
  <c r="B94" i="4"/>
  <c r="B95" i="4"/>
  <c r="B96" i="4"/>
  <c r="B97" i="4"/>
  <c r="B98" i="4"/>
  <c r="B99" i="4"/>
  <c r="B100" i="4"/>
  <c r="B77" i="4"/>
  <c r="B78" i="4"/>
  <c r="B79" i="4"/>
  <c r="B80" i="4"/>
  <c r="B81" i="4"/>
  <c r="B82" i="4"/>
  <c r="B83" i="4"/>
  <c r="B84" i="4"/>
  <c r="AD95" i="3"/>
  <c r="F5" i="5"/>
  <c r="AD105" i="3"/>
  <c r="AD97" i="3"/>
  <c r="AD104" i="3"/>
  <c r="AD94" i="3"/>
  <c r="D102" i="4"/>
  <c r="B42" i="4"/>
  <c r="B43" i="4"/>
  <c r="B44" i="4"/>
  <c r="B45" i="4"/>
  <c r="B46" i="4"/>
  <c r="B47" i="4"/>
  <c r="C107" i="4"/>
  <c r="AD106" i="3"/>
  <c r="AD96" i="3"/>
  <c r="AD112" i="3"/>
  <c r="AD101" i="3"/>
  <c r="AD109" i="3"/>
  <c r="AD102" i="3"/>
  <c r="AD98" i="3"/>
  <c r="AD110" i="3"/>
  <c r="AD108" i="3"/>
  <c r="AD103" i="3"/>
  <c r="C106" i="4"/>
  <c r="B92" i="4"/>
  <c r="B91" i="4"/>
  <c r="B90" i="4"/>
  <c r="B89" i="4"/>
  <c r="B88" i="4"/>
  <c r="B87" i="4"/>
  <c r="B86" i="4"/>
  <c r="C23" i="4"/>
  <c r="B75" i="4" l="1"/>
  <c r="BJ93" i="5"/>
  <c r="BK93" i="5" s="1"/>
  <c r="BL93" i="5" s="1"/>
  <c r="B72" i="4"/>
  <c r="C15" i="5"/>
  <c r="W15" i="5" s="1"/>
  <c r="CC75" i="5"/>
  <c r="BZ78" i="5"/>
  <c r="H18" i="5"/>
  <c r="BZ74" i="5"/>
  <c r="BZ75" i="5"/>
  <c r="CC78" i="5"/>
  <c r="AG16" i="5"/>
  <c r="AM28" i="5" s="1"/>
  <c r="BZ80" i="5"/>
  <c r="C30" i="5"/>
  <c r="C29" i="2" s="1"/>
  <c r="BZ77" i="5"/>
  <c r="AH16" i="5"/>
  <c r="AN28" i="5" s="1"/>
  <c r="CC73" i="5"/>
  <c r="BZ79" i="5"/>
  <c r="C18" i="5"/>
  <c r="AR10" i="5"/>
  <c r="AE17" i="5"/>
  <c r="AF17" i="5" s="1"/>
  <c r="C17" i="5"/>
  <c r="AS17" i="5"/>
  <c r="CC77" i="5"/>
  <c r="AB12" i="5"/>
  <c r="AZ40" i="5" s="1"/>
  <c r="O16" i="3"/>
  <c r="M13" i="5" s="1"/>
  <c r="AK13" i="5" s="1"/>
  <c r="BC40" i="5" s="1"/>
  <c r="C103" i="4"/>
  <c r="O14" i="3"/>
  <c r="M11" i="5" s="1"/>
  <c r="AK11" i="5" s="1"/>
  <c r="BB39" i="5" s="1"/>
  <c r="C101" i="4"/>
  <c r="D104" i="4"/>
  <c r="D22" i="3"/>
  <c r="N16" i="2"/>
  <c r="C105" i="4"/>
  <c r="B76" i="4"/>
  <c r="AP13" i="5"/>
  <c r="B74" i="4"/>
  <c r="N14" i="2"/>
  <c r="C108" i="4"/>
  <c r="B73" i="4"/>
  <c r="C73" i="4"/>
  <c r="BI93" i="5"/>
  <c r="BI97" i="5" s="1"/>
  <c r="BH93" i="5"/>
  <c r="C18" i="3"/>
  <c r="C17" i="2"/>
  <c r="T15" i="5"/>
  <c r="C13" i="5"/>
  <c r="C25" i="5"/>
  <c r="AA25" i="5" s="1"/>
  <c r="Y25" i="5" s="1"/>
  <c r="H16" i="5"/>
  <c r="C29" i="5"/>
  <c r="C31" i="5"/>
  <c r="C32" i="5"/>
  <c r="C33" i="5"/>
  <c r="C34" i="5"/>
  <c r="AG17" i="5"/>
  <c r="AM31" i="5" s="1"/>
  <c r="CC74" i="5"/>
  <c r="CC76" i="5"/>
  <c r="H14" i="5"/>
  <c r="C26" i="5"/>
  <c r="H15" i="5"/>
  <c r="H17" i="5"/>
  <c r="C35" i="5"/>
  <c r="C36" i="5"/>
  <c r="C37" i="5"/>
  <c r="C38" i="5"/>
  <c r="C39" i="5"/>
  <c r="C40" i="5"/>
  <c r="C41" i="5"/>
  <c r="C42" i="5"/>
  <c r="C14" i="5"/>
  <c r="C16" i="5"/>
  <c r="AH17" i="5"/>
  <c r="AN31" i="5" s="1"/>
  <c r="AE18" i="5"/>
  <c r="CC80" i="5"/>
  <c r="CC79" i="5"/>
  <c r="BZ76" i="5"/>
  <c r="BZ73" i="5"/>
  <c r="C27" i="5"/>
  <c r="C28" i="5"/>
  <c r="C20" i="2"/>
  <c r="C21" i="3"/>
  <c r="T18" i="5"/>
  <c r="AB18" i="5"/>
  <c r="S18" i="5"/>
  <c r="T17" i="5"/>
  <c r="C44" i="5"/>
  <c r="C43" i="5"/>
  <c r="AB11" i="5"/>
  <c r="AZ39" i="5" s="1"/>
  <c r="AB14" i="5"/>
  <c r="AZ42" i="5" s="1"/>
  <c r="Z11" i="5"/>
  <c r="AG11" i="5" s="1"/>
  <c r="AM13" i="5" s="1"/>
  <c r="AA30" i="5" l="1"/>
  <c r="Y30" i="5" s="1"/>
  <c r="C33" i="3"/>
  <c r="B53" i="4" s="1"/>
  <c r="BI96" i="5"/>
  <c r="O15" i="3"/>
  <c r="M12" i="5" s="1"/>
  <c r="AK12" i="5" s="1"/>
  <c r="C102" i="4"/>
  <c r="R17" i="5"/>
  <c r="S17" i="5"/>
  <c r="V17" i="5"/>
  <c r="X17" i="5"/>
  <c r="W17" i="5"/>
  <c r="BI95" i="5"/>
  <c r="Q17" i="5"/>
  <c r="O17" i="3"/>
  <c r="M14" i="5" s="1"/>
  <c r="AK14" i="5" s="1"/>
  <c r="C104" i="4"/>
  <c r="U17" i="5"/>
  <c r="AX46" i="5"/>
  <c r="X18" i="5"/>
  <c r="V18" i="5"/>
  <c r="W18" i="5"/>
  <c r="R18" i="5"/>
  <c r="Q18" i="5"/>
  <c r="Z12" i="5"/>
  <c r="AX45" i="5"/>
  <c r="BC45" i="5" s="1"/>
  <c r="AB15" i="5"/>
  <c r="K21" i="3"/>
  <c r="I20" i="2"/>
  <c r="B41" i="4" s="1"/>
  <c r="C19" i="2"/>
  <c r="B32" i="4" s="1"/>
  <c r="Q15" i="5"/>
  <c r="AY45" i="5"/>
  <c r="C20" i="3"/>
  <c r="U18" i="5"/>
  <c r="AX43" i="5"/>
  <c r="V15" i="5"/>
  <c r="X15" i="5"/>
  <c r="S15" i="5"/>
  <c r="R15" i="5"/>
  <c r="AO13" i="5"/>
  <c r="U15" i="5"/>
  <c r="BI94" i="5"/>
  <c r="BI98" i="5" s="1"/>
  <c r="B30" i="4"/>
  <c r="Z18" i="5"/>
  <c r="AZ46" i="5"/>
  <c r="C40" i="2"/>
  <c r="AA41" i="5"/>
  <c r="Y41" i="5" s="1"/>
  <c r="C44" i="3"/>
  <c r="B64" i="4" s="1"/>
  <c r="C33" i="2"/>
  <c r="C37" i="3"/>
  <c r="B57" i="4" s="1"/>
  <c r="AA34" i="5"/>
  <c r="Y34" i="5" s="1"/>
  <c r="AX44" i="5"/>
  <c r="X16" i="5"/>
  <c r="R16" i="5"/>
  <c r="C18" i="2"/>
  <c r="V16" i="5"/>
  <c r="T16" i="5"/>
  <c r="Q16" i="5"/>
  <c r="S16" i="5"/>
  <c r="C19" i="3"/>
  <c r="AB16" i="5"/>
  <c r="U16" i="5"/>
  <c r="W16" i="5"/>
  <c r="C39" i="2"/>
  <c r="AA40" i="5"/>
  <c r="Y40" i="5" s="1"/>
  <c r="C43" i="3"/>
  <c r="B63" i="4" s="1"/>
  <c r="C39" i="3"/>
  <c r="B59" i="4" s="1"/>
  <c r="AA36" i="5"/>
  <c r="Y36" i="5" s="1"/>
  <c r="C35" i="2"/>
  <c r="AA26" i="5"/>
  <c r="Y26" i="5" s="1"/>
  <c r="AT8" i="5" s="1"/>
  <c r="AT7" i="5" s="1"/>
  <c r="C25" i="2"/>
  <c r="C29" i="3"/>
  <c r="B49" i="4" s="1"/>
  <c r="C36" i="3"/>
  <c r="B56" i="4" s="1"/>
  <c r="AA33" i="5"/>
  <c r="Y33" i="5" s="1"/>
  <c r="AE22" i="5" s="1"/>
  <c r="C32" i="2"/>
  <c r="I18" i="2"/>
  <c r="B39" i="4" s="1"/>
  <c r="K19" i="3"/>
  <c r="C43" i="2"/>
  <c r="C47" i="3"/>
  <c r="B67" i="4" s="1"/>
  <c r="AA44" i="5"/>
  <c r="Y44" i="5" s="1"/>
  <c r="C27" i="2"/>
  <c r="AA28" i="5"/>
  <c r="Y28" i="5" s="1"/>
  <c r="C31" i="3"/>
  <c r="B51" i="4" s="1"/>
  <c r="C36" i="2"/>
  <c r="AA37" i="5"/>
  <c r="Y37" i="5" s="1"/>
  <c r="C40" i="3"/>
  <c r="B60" i="4" s="1"/>
  <c r="I17" i="2"/>
  <c r="B38" i="4" s="1"/>
  <c r="K18" i="3"/>
  <c r="AA29" i="5"/>
  <c r="Y29" i="5" s="1"/>
  <c r="C32" i="3"/>
  <c r="B52" i="4" s="1"/>
  <c r="C28" i="2"/>
  <c r="Z14" i="5"/>
  <c r="C46" i="3"/>
  <c r="B66" i="4" s="1"/>
  <c r="AA43" i="5"/>
  <c r="Y43" i="5" s="1"/>
  <c r="C42" i="2"/>
  <c r="C26" i="2"/>
  <c r="AA27" i="5"/>
  <c r="Y27" i="5" s="1"/>
  <c r="C30" i="3"/>
  <c r="B50" i="4" s="1"/>
  <c r="AF18" i="5"/>
  <c r="AY46" i="5"/>
  <c r="C16" i="2"/>
  <c r="T14" i="5"/>
  <c r="V14" i="5"/>
  <c r="AX42" i="5"/>
  <c r="W14" i="5"/>
  <c r="S14" i="5"/>
  <c r="C17" i="3"/>
  <c r="R14" i="5"/>
  <c r="Q14" i="5"/>
  <c r="X14" i="5"/>
  <c r="U14" i="5"/>
  <c r="C42" i="3"/>
  <c r="B62" i="4" s="1"/>
  <c r="AA39" i="5"/>
  <c r="Y39" i="5" s="1"/>
  <c r="C38" i="2"/>
  <c r="C38" i="3"/>
  <c r="B58" i="4" s="1"/>
  <c r="AA35" i="5"/>
  <c r="Y35" i="5" s="1"/>
  <c r="C34" i="2"/>
  <c r="K17" i="3"/>
  <c r="AB17" i="5"/>
  <c r="I16" i="2"/>
  <c r="B37" i="4" s="1"/>
  <c r="C35" i="3"/>
  <c r="B55" i="4" s="1"/>
  <c r="AA32" i="5"/>
  <c r="Y32" i="5" s="1"/>
  <c r="C31" i="2"/>
  <c r="C28" i="3"/>
  <c r="B48" i="4" s="1"/>
  <c r="C24" i="2"/>
  <c r="B33" i="4"/>
  <c r="C41" i="2"/>
  <c r="C45" i="3"/>
  <c r="B65" i="4" s="1"/>
  <c r="AA42" i="5"/>
  <c r="Y42" i="5" s="1"/>
  <c r="C41" i="3"/>
  <c r="B61" i="4" s="1"/>
  <c r="AA38" i="5"/>
  <c r="Y38" i="5" s="1"/>
  <c r="C37" i="2"/>
  <c r="I19" i="2"/>
  <c r="B40" i="4" s="1"/>
  <c r="K20" i="3"/>
  <c r="C34" i="3"/>
  <c r="B54" i="4" s="1"/>
  <c r="AA31" i="5"/>
  <c r="Y31" i="5" s="1"/>
  <c r="C30" i="2"/>
  <c r="Q13" i="5"/>
  <c r="C15" i="2"/>
  <c r="T13" i="5"/>
  <c r="X13" i="5"/>
  <c r="V13" i="5"/>
  <c r="W13" i="5"/>
  <c r="S13" i="5"/>
  <c r="C16" i="3"/>
  <c r="AB13" i="5"/>
  <c r="AX41" i="5"/>
  <c r="R13" i="5"/>
  <c r="U13" i="5"/>
  <c r="BB45" i="5" l="1"/>
  <c r="D75" i="4"/>
  <c r="BB43" i="5"/>
  <c r="BC43" i="5"/>
  <c r="Z15" i="5"/>
  <c r="AZ43" i="5"/>
  <c r="BB46" i="5"/>
  <c r="BC46" i="5"/>
  <c r="D76" i="4"/>
  <c r="BB40" i="5"/>
  <c r="BD40" i="5" s="1"/>
  <c r="BC39" i="5"/>
  <c r="BD39" i="5" s="1"/>
  <c r="BB41" i="5"/>
  <c r="BC41" i="5"/>
  <c r="D71" i="4"/>
  <c r="B28" i="4"/>
  <c r="D72" i="4"/>
  <c r="B29" i="4"/>
  <c r="Z16" i="5"/>
  <c r="AZ44" i="5"/>
  <c r="Z13" i="5"/>
  <c r="AZ41" i="5"/>
  <c r="BC42" i="5"/>
  <c r="BB42" i="5"/>
  <c r="BB44" i="5"/>
  <c r="BC44" i="5"/>
  <c r="D73" i="4"/>
  <c r="Z17" i="5"/>
  <c r="AZ45" i="5"/>
  <c r="D74" i="4"/>
  <c r="B31" i="4"/>
  <c r="BD45" i="5" l="1"/>
  <c r="BD46" i="5"/>
  <c r="AE21" i="5"/>
  <c r="AE15" i="5"/>
  <c r="AF21" i="5"/>
  <c r="AE16" i="5"/>
  <c r="BD43" i="5"/>
  <c r="BD44" i="5"/>
  <c r="AE13" i="5"/>
  <c r="AE11" i="5"/>
  <c r="AE14" i="5"/>
  <c r="AE12" i="5"/>
  <c r="BD41" i="5"/>
  <c r="BD42" i="5"/>
  <c r="AF16" i="5" l="1"/>
  <c r="AY44" i="5"/>
  <c r="AY43" i="5"/>
  <c r="AF15" i="5"/>
  <c r="AH21" i="5"/>
  <c r="AG12" i="5"/>
  <c r="AG13" i="5" s="1"/>
  <c r="AH12" i="5"/>
  <c r="AL14" i="5"/>
  <c r="AF12" i="5"/>
  <c r="AL18" i="5"/>
  <c r="AL13" i="5"/>
  <c r="AL15" i="5"/>
  <c r="AL12" i="5"/>
  <c r="AL17" i="5"/>
  <c r="AY40" i="5"/>
  <c r="AL16" i="5"/>
  <c r="AY42" i="5"/>
  <c r="AF14" i="5"/>
  <c r="AL11" i="5"/>
  <c r="AF11" i="5"/>
  <c r="AY39" i="5"/>
  <c r="AF13" i="5"/>
  <c r="AY41" i="5"/>
  <c r="AG14" i="5" l="1"/>
  <c r="BT57" i="5" s="1"/>
  <c r="AM19" i="5"/>
  <c r="AO16" i="5"/>
  <c r="AH13" i="5"/>
  <c r="AR11" i="5"/>
  <c r="BL57" i="5"/>
  <c r="AJ12" i="5"/>
  <c r="AQ12" i="5"/>
  <c r="AI12" i="5"/>
  <c r="BK57" i="5"/>
  <c r="AJ16" i="5"/>
  <c r="AQ16" i="5"/>
  <c r="AI16" i="5"/>
  <c r="AI15" i="5"/>
  <c r="AJ15" i="5"/>
  <c r="AQ15" i="5"/>
  <c r="AI14" i="5"/>
  <c r="AQ14" i="5"/>
  <c r="AJ14" i="5"/>
  <c r="BQ57" i="5"/>
  <c r="AI11" i="5"/>
  <c r="BI57" i="5"/>
  <c r="AJ11" i="5"/>
  <c r="AQ11" i="5"/>
  <c r="BH57" i="5"/>
  <c r="AI13" i="5"/>
  <c r="AM15" i="5" s="1"/>
  <c r="BN57" i="5"/>
  <c r="BO57" i="5"/>
  <c r="AQ13" i="5"/>
  <c r="AJ13" i="5"/>
  <c r="AN15" i="5" s="1"/>
  <c r="AP15" i="5"/>
  <c r="AN16" i="5"/>
  <c r="CA57" i="5"/>
  <c r="AJ17" i="5"/>
  <c r="BZ57" i="5"/>
  <c r="AQ17" i="5"/>
  <c r="AI17" i="5"/>
  <c r="AJ18" i="5"/>
  <c r="AI18" i="5"/>
  <c r="AQ18" i="5"/>
  <c r="CD57" i="5"/>
  <c r="CC57" i="5"/>
  <c r="AO15" i="5"/>
  <c r="AM16" i="5"/>
  <c r="AN19" i="5" l="1"/>
  <c r="AH14" i="5"/>
  <c r="AP16" i="5"/>
  <c r="BR57" i="5"/>
  <c r="AM22" i="5"/>
  <c r="AG15" i="5"/>
  <c r="AM24" i="5" s="1"/>
  <c r="AS11" i="5"/>
  <c r="BK84" i="5"/>
  <c r="BO63" i="5"/>
  <c r="BO78" i="5" s="1"/>
  <c r="BO61" i="5"/>
  <c r="BO76" i="5" s="1"/>
  <c r="BO58" i="5"/>
  <c r="BO73" i="5" s="1"/>
  <c r="BO64" i="5"/>
  <c r="BO79" i="5" s="1"/>
  <c r="BO62" i="5"/>
  <c r="BO77" i="5" s="1"/>
  <c r="BO65" i="5"/>
  <c r="BO80" i="5" s="1"/>
  <c r="BO60" i="5"/>
  <c r="BO75" i="5" s="1"/>
  <c r="BO59" i="5"/>
  <c r="BO74" i="5" s="1"/>
  <c r="AN12" i="5"/>
  <c r="AP12" i="5"/>
  <c r="AP14" i="5" s="1"/>
  <c r="BZ63" i="5"/>
  <c r="BZ58" i="5"/>
  <c r="BZ65" i="5"/>
  <c r="BZ64" i="5"/>
  <c r="BZ61" i="5"/>
  <c r="BZ60" i="5"/>
  <c r="BZ59" i="5"/>
  <c r="BZ62" i="5"/>
  <c r="BN62" i="5"/>
  <c r="BN77" i="5" s="1"/>
  <c r="BN60" i="5"/>
  <c r="BN75" i="5" s="1"/>
  <c r="BN65" i="5"/>
  <c r="BN80" i="5" s="1"/>
  <c r="BN61" i="5"/>
  <c r="BN76" i="5" s="1"/>
  <c r="BN64" i="5"/>
  <c r="BN79" i="5" s="1"/>
  <c r="BN58" i="5"/>
  <c r="BN73" i="5" s="1"/>
  <c r="BN59" i="5"/>
  <c r="BN74" i="5" s="1"/>
  <c r="BN63" i="5"/>
  <c r="BN78" i="5" s="1"/>
  <c r="AN30" i="5"/>
  <c r="AP11" i="5"/>
  <c r="AP17" i="5" s="1"/>
  <c r="AN11" i="5"/>
  <c r="AN33" i="5"/>
  <c r="AN27" i="5"/>
  <c r="AN18" i="5"/>
  <c r="BK63" i="5"/>
  <c r="BK80" i="5" s="1"/>
  <c r="BK60" i="5"/>
  <c r="BK75" i="5" s="1"/>
  <c r="BK62" i="5"/>
  <c r="BK77" i="5" s="1"/>
  <c r="BK61" i="5"/>
  <c r="BK76" i="5" s="1"/>
  <c r="BK59" i="5"/>
  <c r="BK88" i="5" s="1"/>
  <c r="BK67" i="5"/>
  <c r="BK86" i="5" s="1"/>
  <c r="BK68" i="5"/>
  <c r="BK85" i="5" s="1"/>
  <c r="BK58" i="5"/>
  <c r="BK73" i="5" s="1"/>
  <c r="BK66" i="5"/>
  <c r="BK83" i="5" s="1"/>
  <c r="BK69" i="5"/>
  <c r="BK87" i="5" s="1"/>
  <c r="BK65" i="5"/>
  <c r="BK82" i="5" s="1"/>
  <c r="BK64" i="5"/>
  <c r="BK81" i="5" s="1"/>
  <c r="BL68" i="5"/>
  <c r="BL85" i="5" s="1"/>
  <c r="BL58" i="5"/>
  <c r="BL73" i="5" s="1"/>
  <c r="BL60" i="5"/>
  <c r="BL75" i="5" s="1"/>
  <c r="BL59" i="5"/>
  <c r="BL66" i="5"/>
  <c r="BL83" i="5" s="1"/>
  <c r="BL69" i="5"/>
  <c r="BL64" i="5"/>
  <c r="BL81" i="5" s="1"/>
  <c r="BL63" i="5"/>
  <c r="BL67" i="5"/>
  <c r="BL61" i="5"/>
  <c r="BL76" i="5" s="1"/>
  <c r="BL65" i="5"/>
  <c r="BL82" i="5" s="1"/>
  <c r="BL62" i="5"/>
  <c r="BL77" i="5" s="1"/>
  <c r="CC61" i="5"/>
  <c r="CC62" i="5"/>
  <c r="CC63" i="5"/>
  <c r="CC59" i="5"/>
  <c r="CC60" i="5"/>
  <c r="CC58" i="5"/>
  <c r="AU13" i="5"/>
  <c r="AN17" i="5"/>
  <c r="BA13" i="5"/>
  <c r="AN42" i="5"/>
  <c r="AT13" i="5"/>
  <c r="AZ13" i="5"/>
  <c r="AM17" i="5"/>
  <c r="AM42" i="5"/>
  <c r="BI58" i="5"/>
  <c r="BI73" i="5" s="1"/>
  <c r="BI60" i="5"/>
  <c r="BI77" i="5" s="1"/>
  <c r="BI61" i="5"/>
  <c r="BI62" i="5"/>
  <c r="BI79" i="5" s="1"/>
  <c r="BI59" i="5"/>
  <c r="BT61" i="5"/>
  <c r="BT76" i="5" s="1"/>
  <c r="BT62" i="5"/>
  <c r="BT78" i="5" s="1"/>
  <c r="BT58" i="5"/>
  <c r="BT73" i="5" s="1"/>
  <c r="BT60" i="5"/>
  <c r="BT59" i="5"/>
  <c r="BT74" i="5" s="1"/>
  <c r="BT63" i="5"/>
  <c r="BT79" i="5" s="1"/>
  <c r="AM12" i="5"/>
  <c r="AO12" i="5"/>
  <c r="AO14" i="5" s="1"/>
  <c r="CD62" i="5"/>
  <c r="CD60" i="5"/>
  <c r="CD75" i="5" s="1"/>
  <c r="CD59" i="5"/>
  <c r="CD63" i="5"/>
  <c r="CD80" i="5" s="1"/>
  <c r="CD61" i="5"/>
  <c r="CD78" i="5" s="1"/>
  <c r="CD58" i="5"/>
  <c r="CD73" i="5" s="1"/>
  <c r="CA59" i="5"/>
  <c r="CA74" i="5" s="1"/>
  <c r="CA58" i="5"/>
  <c r="CA73" i="5" s="1"/>
  <c r="CA65" i="5"/>
  <c r="CA80" i="5" s="1"/>
  <c r="CA63" i="5"/>
  <c r="CA78" i="5" s="1"/>
  <c r="CA64" i="5"/>
  <c r="CA79" i="5" s="1"/>
  <c r="CA62" i="5"/>
  <c r="CA77" i="5" s="1"/>
  <c r="CA60" i="5"/>
  <c r="CA75" i="5" s="1"/>
  <c r="CA61" i="5"/>
  <c r="CA76" i="5" s="1"/>
  <c r="BH62" i="5"/>
  <c r="BH79" i="5" s="1"/>
  <c r="BH61" i="5"/>
  <c r="BH75" i="5" s="1"/>
  <c r="BH59" i="5"/>
  <c r="BH76" i="5" s="1"/>
  <c r="BH58" i="5"/>
  <c r="BH73" i="5" s="1"/>
  <c r="BH60" i="5"/>
  <c r="BH77" i="5" s="1"/>
  <c r="AM18" i="5"/>
  <c r="AM33" i="5"/>
  <c r="AM21" i="5"/>
  <c r="AM30" i="5"/>
  <c r="AM11" i="5"/>
  <c r="AO11" i="5"/>
  <c r="AO17" i="5" s="1"/>
  <c r="AM27" i="5"/>
  <c r="BQ60" i="5"/>
  <c r="BQ75" i="5" s="1"/>
  <c r="BQ61" i="5"/>
  <c r="BQ76" i="5" s="1"/>
  <c r="BQ58" i="5"/>
  <c r="BQ73" i="5" s="1"/>
  <c r="BQ63" i="5"/>
  <c r="BQ78" i="5" s="1"/>
  <c r="BQ64" i="5"/>
  <c r="BQ79" i="5" s="1"/>
  <c r="BQ65" i="5"/>
  <c r="BQ80" i="5" s="1"/>
  <c r="BQ62" i="5"/>
  <c r="BQ77" i="5" s="1"/>
  <c r="BQ59" i="5"/>
  <c r="BQ82" i="5" s="1"/>
  <c r="BH74" i="5" l="1"/>
  <c r="AG29" i="5"/>
  <c r="AG27" i="5"/>
  <c r="AF34" i="5" s="1"/>
  <c r="AF37" i="5" s="1"/>
  <c r="BK74" i="5"/>
  <c r="BQ74" i="5"/>
  <c r="BK79" i="5"/>
  <c r="BK78" i="5"/>
  <c r="BH78" i="5"/>
  <c r="BQ81" i="5"/>
  <c r="AG25" i="5"/>
  <c r="AF38" i="5"/>
  <c r="AN21" i="5"/>
  <c r="AN23" i="5" s="1"/>
  <c r="AM25" i="5"/>
  <c r="BW57" i="5"/>
  <c r="BT75" i="5"/>
  <c r="BT77" i="5"/>
  <c r="AN22" i="5"/>
  <c r="AH15" i="5"/>
  <c r="AH25" i="5" s="1"/>
  <c r="BU57" i="5"/>
  <c r="BR64" i="5"/>
  <c r="BR62" i="5"/>
  <c r="BR77" i="5" s="1"/>
  <c r="BR65" i="5"/>
  <c r="BR80" i="5" s="1"/>
  <c r="BR60" i="5"/>
  <c r="BR75" i="5" s="1"/>
  <c r="BR63" i="5"/>
  <c r="BR78" i="5" s="1"/>
  <c r="BR61" i="5"/>
  <c r="BR76" i="5" s="1"/>
  <c r="BR59" i="5"/>
  <c r="BR58" i="5"/>
  <c r="BR73" i="5" s="1"/>
  <c r="AS16" i="5"/>
  <c r="G21" i="5" s="1"/>
  <c r="G24" i="3" s="1"/>
  <c r="AS13" i="5"/>
  <c r="C20" i="5" s="1"/>
  <c r="C23" i="3" s="1"/>
  <c r="AZ16" i="5"/>
  <c r="AM26" i="5"/>
  <c r="AT16" i="5"/>
  <c r="AM45" i="5"/>
  <c r="AT15" i="5"/>
  <c r="AM23" i="5"/>
  <c r="AM44" i="5"/>
  <c r="AZ15" i="5"/>
  <c r="BH95" i="5"/>
  <c r="BH96" i="5"/>
  <c r="BH94" i="5"/>
  <c r="BH98" i="5" s="1"/>
  <c r="BH97" i="5"/>
  <c r="BL78" i="5"/>
  <c r="BL80" i="5"/>
  <c r="BL88" i="5"/>
  <c r="BL74" i="5"/>
  <c r="AU17" i="5"/>
  <c r="BA17" i="5"/>
  <c r="AN47" i="5"/>
  <c r="AN29" i="5"/>
  <c r="AN41" i="5"/>
  <c r="AN14" i="5"/>
  <c r="BA12" i="5"/>
  <c r="AU12" i="5"/>
  <c r="AZ19" i="5"/>
  <c r="AM49" i="5"/>
  <c r="CD77" i="5"/>
  <c r="CD79" i="5"/>
  <c r="BI78" i="5"/>
  <c r="BI75" i="5"/>
  <c r="BD13" i="5"/>
  <c r="AZ11" i="5"/>
  <c r="AT11" i="5"/>
  <c r="AM40" i="5"/>
  <c r="AZ14" i="5"/>
  <c r="AM20" i="5"/>
  <c r="AT14" i="5"/>
  <c r="AM43" i="5"/>
  <c r="BL79" i="5"/>
  <c r="BL87" i="5"/>
  <c r="AN49" i="5"/>
  <c r="BA19" i="5"/>
  <c r="AN32" i="5"/>
  <c r="AN48" i="5"/>
  <c r="AU18" i="5"/>
  <c r="BA18" i="5"/>
  <c r="AM29" i="5"/>
  <c r="AZ17" i="5"/>
  <c r="AM47" i="5"/>
  <c r="AT17" i="5"/>
  <c r="AM48" i="5"/>
  <c r="AT18" i="5"/>
  <c r="AM32" i="5"/>
  <c r="AZ18" i="5"/>
  <c r="CD76" i="5"/>
  <c r="CD74" i="5"/>
  <c r="AT12" i="5"/>
  <c r="AM14" i="5"/>
  <c r="AZ12" i="5"/>
  <c r="AM41" i="5"/>
  <c r="BI74" i="5"/>
  <c r="BI76" i="5"/>
  <c r="BL84" i="5"/>
  <c r="BL86" i="5"/>
  <c r="AU14" i="5"/>
  <c r="AN20" i="5"/>
  <c r="AN43" i="5"/>
  <c r="BA14" i="5"/>
  <c r="AN40" i="5"/>
  <c r="AU11" i="5"/>
  <c r="BA11" i="5"/>
  <c r="AI25" i="5" l="1"/>
  <c r="BL13" i="5"/>
  <c r="BJ22" i="5" s="1"/>
  <c r="BK22" i="5" s="1"/>
  <c r="AH29" i="5"/>
  <c r="AG34" i="5" s="1"/>
  <c r="AG35" i="5" s="1"/>
  <c r="AH27" i="5"/>
  <c r="AK34" i="5"/>
  <c r="AK32" i="5"/>
  <c r="AU15" i="5"/>
  <c r="BA15" i="5"/>
  <c r="BE15" i="5" s="1"/>
  <c r="AN44" i="5"/>
  <c r="AJ34" i="5"/>
  <c r="AF35" i="5" s="1"/>
  <c r="AF36" i="5" s="1"/>
  <c r="AN25" i="5"/>
  <c r="BX57" i="5"/>
  <c r="AN24" i="5"/>
  <c r="BR74" i="5"/>
  <c r="BR82" i="5"/>
  <c r="BW62" i="5"/>
  <c r="BW78" i="5" s="1"/>
  <c r="BW59" i="5"/>
  <c r="BW58" i="5"/>
  <c r="BW73" i="5" s="1"/>
  <c r="BW61" i="5"/>
  <c r="BW77" i="5" s="1"/>
  <c r="BW60" i="5"/>
  <c r="BW75" i="5" s="1"/>
  <c r="BR81" i="5"/>
  <c r="BR79" i="5"/>
  <c r="BU61" i="5"/>
  <c r="BU76" i="5" s="1"/>
  <c r="BU59" i="5"/>
  <c r="BU74" i="5" s="1"/>
  <c r="BU63" i="5"/>
  <c r="BU79" i="5" s="1"/>
  <c r="BU62" i="5"/>
  <c r="BU78" i="5" s="1"/>
  <c r="BU58" i="5"/>
  <c r="BU73" i="5" s="1"/>
  <c r="BU60" i="5"/>
  <c r="BD14" i="5"/>
  <c r="BD24" i="5"/>
  <c r="BE24" i="5" s="1"/>
  <c r="BC17" i="5"/>
  <c r="BC15" i="5"/>
  <c r="BC13" i="5"/>
  <c r="BC12" i="5"/>
  <c r="BE12" i="5"/>
  <c r="BL12" i="5"/>
  <c r="BB12" i="5"/>
  <c r="BE13" i="5"/>
  <c r="BD23" i="5"/>
  <c r="BE23" i="5" s="1"/>
  <c r="BD12" i="5"/>
  <c r="BD22" i="5"/>
  <c r="BE22" i="5" s="1"/>
  <c r="BL18" i="5"/>
  <c r="BC18" i="5"/>
  <c r="BE18" i="5"/>
  <c r="BB18" i="5"/>
  <c r="BD18" i="5"/>
  <c r="BD28" i="5"/>
  <c r="BE28" i="5" s="1"/>
  <c r="BD19" i="5"/>
  <c r="BD29" i="5"/>
  <c r="BE29" i="5" s="1"/>
  <c r="BB13" i="5"/>
  <c r="BE14" i="5"/>
  <c r="BL14" i="5"/>
  <c r="BB14" i="5"/>
  <c r="BC14" i="5"/>
  <c r="AP49" i="5"/>
  <c r="AP51" i="5"/>
  <c r="AP47" i="5"/>
  <c r="BL19" i="5"/>
  <c r="BE19" i="5"/>
  <c r="BC19" i="5"/>
  <c r="BB19" i="5"/>
  <c r="BC16" i="5"/>
  <c r="BJ24" i="5" l="1"/>
  <c r="BJ23" i="5"/>
  <c r="BK23" i="5" s="1"/>
  <c r="AG38" i="5"/>
  <c r="AG36" i="5"/>
  <c r="AG37" i="5" s="1"/>
  <c r="BD15" i="5"/>
  <c r="BB15" i="5"/>
  <c r="BB26" i="5" s="1"/>
  <c r="F17" i="3" s="1"/>
  <c r="BD25" i="5"/>
  <c r="BE25" i="5" s="1"/>
  <c r="BL15" i="5"/>
  <c r="BP22" i="5" s="1"/>
  <c r="BQ22" i="5" s="1"/>
  <c r="BW74" i="5"/>
  <c r="BW76" i="5"/>
  <c r="BA16" i="5"/>
  <c r="AU16" i="5"/>
  <c r="AN45" i="5"/>
  <c r="AQ51" i="5" s="1"/>
  <c r="AN26" i="5"/>
  <c r="BU77" i="5"/>
  <c r="BU75" i="5"/>
  <c r="BX59" i="5"/>
  <c r="BX58" i="5"/>
  <c r="BX73" i="5" s="1"/>
  <c r="BX60" i="5"/>
  <c r="BX75" i="5" s="1"/>
  <c r="BX61" i="5"/>
  <c r="BX77" i="5" s="1"/>
  <c r="BX62" i="5"/>
  <c r="BX78" i="5" s="1"/>
  <c r="CB24" i="5"/>
  <c r="CB22" i="5"/>
  <c r="CC22" i="5" s="1"/>
  <c r="CB23" i="5"/>
  <c r="CC23" i="5" s="1"/>
  <c r="BK14" i="5"/>
  <c r="AZ25" i="5"/>
  <c r="BB25" i="5"/>
  <c r="F16" i="3" s="1"/>
  <c r="BK18" i="5"/>
  <c r="BB29" i="5"/>
  <c r="F20" i="3" s="1"/>
  <c r="AZ29" i="5"/>
  <c r="BF12" i="5"/>
  <c r="BG12" i="5"/>
  <c r="BG15" i="5"/>
  <c r="BF15" i="5"/>
  <c r="BM22" i="5"/>
  <c r="BN22" i="5" s="1"/>
  <c r="BM23" i="5"/>
  <c r="BN23" i="5" s="1"/>
  <c r="BM24" i="5"/>
  <c r="BG18" i="5"/>
  <c r="BF18" i="5"/>
  <c r="BF13" i="5"/>
  <c r="BG13" i="5"/>
  <c r="BG14" i="5"/>
  <c r="BF14" i="5"/>
  <c r="BK12" i="5"/>
  <c r="BB23" i="5"/>
  <c r="F14" i="3" s="1"/>
  <c r="AZ23" i="5"/>
  <c r="BB30" i="5"/>
  <c r="F21" i="3" s="1"/>
  <c r="BK19" i="5"/>
  <c r="AZ30" i="5"/>
  <c r="BG19" i="5"/>
  <c r="BF19" i="5"/>
  <c r="AP42" i="5"/>
  <c r="AZ24" i="5"/>
  <c r="BK13" i="5"/>
  <c r="BB24" i="5"/>
  <c r="F15" i="3" s="1"/>
  <c r="BY24" i="5"/>
  <c r="BY23" i="5"/>
  <c r="BZ23" i="5" s="1"/>
  <c r="BY22" i="5"/>
  <c r="BZ22" i="5" s="1"/>
  <c r="BG22" i="5"/>
  <c r="BH22" i="5" s="1"/>
  <c r="BG23" i="5"/>
  <c r="BH23" i="5" s="1"/>
  <c r="BG25" i="5" s="1"/>
  <c r="BJ25" i="5" l="1"/>
  <c r="BJ26" i="5" s="1"/>
  <c r="AQ49" i="5"/>
  <c r="BK15" i="5"/>
  <c r="BI15" i="5" s="1"/>
  <c r="BM15" i="5" s="1"/>
  <c r="AQ47" i="5"/>
  <c r="BP24" i="5"/>
  <c r="BQ38" i="5" s="1"/>
  <c r="BP23" i="5"/>
  <c r="BQ23" i="5" s="1"/>
  <c r="AZ26" i="5"/>
  <c r="H17" i="3" s="1"/>
  <c r="BB17" i="5"/>
  <c r="BD17" i="5"/>
  <c r="BB16" i="5"/>
  <c r="BD26" i="5"/>
  <c r="BE26" i="5" s="1"/>
  <c r="BL17" i="5"/>
  <c r="BE16" i="5"/>
  <c r="BD27" i="5"/>
  <c r="BE27" i="5" s="1"/>
  <c r="BE17" i="5"/>
  <c r="BD16" i="5"/>
  <c r="BL16" i="5"/>
  <c r="BX76" i="5"/>
  <c r="BX74" i="5"/>
  <c r="CB25" i="5"/>
  <c r="CB26" i="5" s="1"/>
  <c r="CB27" i="5" s="1"/>
  <c r="CB28" i="5" s="1"/>
  <c r="CB29" i="5" s="1"/>
  <c r="CB30" i="5" s="1"/>
  <c r="CB31" i="5" s="1"/>
  <c r="CB32" i="5" s="1"/>
  <c r="CB33" i="5" s="1"/>
  <c r="CB34" i="5" s="1"/>
  <c r="CC48" i="5" s="1"/>
  <c r="CC38" i="5"/>
  <c r="BI13" i="5"/>
  <c r="BM13" i="5" s="1"/>
  <c r="BJ13" i="5"/>
  <c r="BH13" i="5"/>
  <c r="BM25" i="5"/>
  <c r="BH15" i="5"/>
  <c r="H15" i="3"/>
  <c r="G14" i="2"/>
  <c r="BH19" i="5"/>
  <c r="BI19" i="5"/>
  <c r="BM19" i="5" s="1"/>
  <c r="BJ19" i="5"/>
  <c r="BN19" i="5" s="1"/>
  <c r="H14" i="3"/>
  <c r="G13" i="2"/>
  <c r="BI14" i="5"/>
  <c r="BH14" i="5"/>
  <c r="BJ14" i="5"/>
  <c r="BH12" i="5"/>
  <c r="BJ12" i="5"/>
  <c r="BI12" i="5"/>
  <c r="BN12" i="5" s="1"/>
  <c r="BZ24" i="5"/>
  <c r="BY38" i="5" s="1"/>
  <c r="BG24" i="5"/>
  <c r="BG26" i="5"/>
  <c r="BZ38" i="5"/>
  <c r="BY25" i="5"/>
  <c r="H21" i="3"/>
  <c r="G20" i="2"/>
  <c r="CC24" i="5"/>
  <c r="CB38" i="5" s="1"/>
  <c r="BH18" i="5"/>
  <c r="BI18" i="5"/>
  <c r="BM18" i="5" s="1"/>
  <c r="BJ18" i="5"/>
  <c r="BN18" i="5" s="1"/>
  <c r="G19" i="2"/>
  <c r="H20" i="3"/>
  <c r="H16" i="3"/>
  <c r="G15" i="2"/>
  <c r="G16" i="2" l="1"/>
  <c r="BP25" i="5"/>
  <c r="BP26" i="5" s="1"/>
  <c r="BJ15" i="5"/>
  <c r="BN15" i="5" s="1"/>
  <c r="AV33" i="5" s="1"/>
  <c r="AQ42" i="5"/>
  <c r="BM12" i="5"/>
  <c r="AS34" i="5" s="1"/>
  <c r="BH24" i="5" s="1"/>
  <c r="BH38" i="5" s="1"/>
  <c r="BG17" i="5"/>
  <c r="BF17" i="5"/>
  <c r="BG16" i="5"/>
  <c r="BF16" i="5"/>
  <c r="BV24" i="5"/>
  <c r="BW38" i="5" s="1"/>
  <c r="BV22" i="5"/>
  <c r="BW22" i="5" s="1"/>
  <c r="BV23" i="5"/>
  <c r="BW23" i="5" s="1"/>
  <c r="BK16" i="5"/>
  <c r="BB27" i="5"/>
  <c r="F18" i="3" s="1"/>
  <c r="AZ27" i="5"/>
  <c r="BS24" i="5"/>
  <c r="BT38" i="5" s="1"/>
  <c r="BS23" i="5"/>
  <c r="BT23" i="5" s="1"/>
  <c r="BS22" i="5"/>
  <c r="BT22" i="5" s="1"/>
  <c r="BK17" i="5"/>
  <c r="AZ28" i="5"/>
  <c r="BB28" i="5"/>
  <c r="F19" i="3" s="1"/>
  <c r="CC44" i="5"/>
  <c r="CC41" i="5"/>
  <c r="CC43" i="5"/>
  <c r="CC45" i="5"/>
  <c r="CC47" i="5"/>
  <c r="CC46" i="5"/>
  <c r="CC42" i="5"/>
  <c r="CC39" i="5"/>
  <c r="BN13" i="5"/>
  <c r="AT33" i="5" s="1"/>
  <c r="BK26" i="5" s="1"/>
  <c r="CC40" i="5"/>
  <c r="BM14" i="5"/>
  <c r="AY34" i="5"/>
  <c r="CC25" i="5"/>
  <c r="CC26" i="5" s="1"/>
  <c r="BN14" i="5"/>
  <c r="AZ33" i="5"/>
  <c r="AY33" i="5"/>
  <c r="BG27" i="5"/>
  <c r="AZ34" i="5"/>
  <c r="BM26" i="5"/>
  <c r="BY26" i="5"/>
  <c r="BZ39" i="5"/>
  <c r="BQ39" i="5"/>
  <c r="BZ25" i="5"/>
  <c r="BJ27" i="5"/>
  <c r="AV34" i="5" l="1"/>
  <c r="BQ24" i="5" s="1"/>
  <c r="BP38" i="5" s="1"/>
  <c r="BK27" i="5"/>
  <c r="BJ41" i="5" s="1"/>
  <c r="AS33" i="5"/>
  <c r="BH25" i="5" s="1"/>
  <c r="AT34" i="5"/>
  <c r="BK24" i="5" s="1"/>
  <c r="BJ38" i="5" s="1"/>
  <c r="AU34" i="5"/>
  <c r="BN24" i="5" s="1"/>
  <c r="BN38" i="5" s="1"/>
  <c r="BG38" i="5"/>
  <c r="H19" i="3"/>
  <c r="G18" i="2"/>
  <c r="BV25" i="5"/>
  <c r="BS25" i="5"/>
  <c r="BJ16" i="5"/>
  <c r="BN16" i="5" s="1"/>
  <c r="BI16" i="5"/>
  <c r="BM16" i="5" s="1"/>
  <c r="BH16" i="5"/>
  <c r="H18" i="3"/>
  <c r="G17" i="2"/>
  <c r="BI17" i="5"/>
  <c r="BM17" i="5" s="1"/>
  <c r="BJ17" i="5"/>
  <c r="BN17" i="5" s="1"/>
  <c r="BH17" i="5"/>
  <c r="CB39" i="5"/>
  <c r="BJ40" i="5"/>
  <c r="BK40" i="5"/>
  <c r="BK38" i="5"/>
  <c r="BK25" i="5"/>
  <c r="AU33" i="5"/>
  <c r="BN25" i="5" s="1"/>
  <c r="BN39" i="5" s="1"/>
  <c r="BM38" i="5"/>
  <c r="BQ40" i="5"/>
  <c r="BP27" i="5"/>
  <c r="BY39" i="5"/>
  <c r="BZ26" i="5"/>
  <c r="BY27" i="5"/>
  <c r="BZ40" i="5"/>
  <c r="CB40" i="5"/>
  <c r="CC27" i="5"/>
  <c r="BQ25" i="5"/>
  <c r="BM27" i="5"/>
  <c r="BK41" i="5"/>
  <c r="BJ28" i="5"/>
  <c r="BG28" i="5"/>
  <c r="BS26" i="5" l="1"/>
  <c r="BT39" i="5"/>
  <c r="BV26" i="5"/>
  <c r="BW39" i="5"/>
  <c r="AX34" i="5"/>
  <c r="BW24" i="5" s="1"/>
  <c r="BV38" i="5" s="1"/>
  <c r="AW33" i="5"/>
  <c r="AX33" i="5"/>
  <c r="BH39" i="5"/>
  <c r="BG39" i="5"/>
  <c r="BH26" i="5"/>
  <c r="AW34" i="5"/>
  <c r="BT24" i="5" s="1"/>
  <c r="BS38" i="5" s="1"/>
  <c r="BM39" i="5"/>
  <c r="BN26" i="5"/>
  <c r="BN40" i="5" s="1"/>
  <c r="BJ39" i="5"/>
  <c r="BK39" i="5"/>
  <c r="CB41" i="5"/>
  <c r="CC28" i="5"/>
  <c r="BJ29" i="5"/>
  <c r="BK28" i="5"/>
  <c r="BJ42" i="5" s="1"/>
  <c r="BY28" i="5"/>
  <c r="BZ41" i="5"/>
  <c r="BP39" i="5"/>
  <c r="BQ26" i="5"/>
  <c r="BY40" i="5"/>
  <c r="BZ27" i="5"/>
  <c r="BP28" i="5"/>
  <c r="BQ41" i="5"/>
  <c r="BG29" i="5"/>
  <c r="BM28" i="5"/>
  <c r="BN27" i="5"/>
  <c r="BN41" i="5" s="1"/>
  <c r="BW26" i="5" l="1"/>
  <c r="BV40" i="5" s="1"/>
  <c r="BW25" i="5"/>
  <c r="BV39" i="5" s="1"/>
  <c r="BT26" i="5"/>
  <c r="BS40" i="5" s="1"/>
  <c r="BT25" i="5"/>
  <c r="BS39" i="5" s="1"/>
  <c r="BV27" i="5"/>
  <c r="BW27" i="5" s="1"/>
  <c r="BV41" i="5" s="1"/>
  <c r="BW40" i="5"/>
  <c r="BS27" i="5"/>
  <c r="BT27" i="5" s="1"/>
  <c r="BS41" i="5" s="1"/>
  <c r="BT40" i="5"/>
  <c r="BH40" i="5"/>
  <c r="BG40" i="5"/>
  <c r="BH27" i="5"/>
  <c r="BK42" i="5"/>
  <c r="BM40" i="5"/>
  <c r="BM41" i="5"/>
  <c r="BP29" i="5"/>
  <c r="BQ42" i="5"/>
  <c r="BY41" i="5"/>
  <c r="BZ28" i="5"/>
  <c r="BP40" i="5"/>
  <c r="BQ27" i="5"/>
  <c r="BG30" i="5"/>
  <c r="CB42" i="5"/>
  <c r="CC29" i="5"/>
  <c r="BM29" i="5"/>
  <c r="BN28" i="5"/>
  <c r="BN42" i="5" s="1"/>
  <c r="BZ42" i="5"/>
  <c r="BY29" i="5"/>
  <c r="BK29" i="5"/>
  <c r="BJ43" i="5" s="1"/>
  <c r="BJ30" i="5"/>
  <c r="BV28" i="5" l="1"/>
  <c r="BW41" i="5"/>
  <c r="BS28" i="5"/>
  <c r="BT41" i="5"/>
  <c r="BH41" i="5"/>
  <c r="BG41" i="5"/>
  <c r="BH28" i="5"/>
  <c r="BK43" i="5"/>
  <c r="BM42" i="5"/>
  <c r="BY42" i="5"/>
  <c r="BZ29" i="5"/>
  <c r="BJ31" i="5"/>
  <c r="BK30" i="5"/>
  <c r="BJ44" i="5" s="1"/>
  <c r="BM30" i="5"/>
  <c r="BN29" i="5"/>
  <c r="BN43" i="5" s="1"/>
  <c r="BP30" i="5"/>
  <c r="BQ43" i="5"/>
  <c r="BZ43" i="5"/>
  <c r="BY30" i="5"/>
  <c r="BG31" i="5"/>
  <c r="BP41" i="5"/>
  <c r="BQ28" i="5"/>
  <c r="CB43" i="5"/>
  <c r="CC30" i="5"/>
  <c r="BS29" i="5" l="1"/>
  <c r="BT42" i="5"/>
  <c r="BT28" i="5"/>
  <c r="BS42" i="5" s="1"/>
  <c r="BW42" i="5"/>
  <c r="BV29" i="5"/>
  <c r="BW28" i="5"/>
  <c r="BV42" i="5" s="1"/>
  <c r="BH42" i="5"/>
  <c r="BG42" i="5"/>
  <c r="BH29" i="5"/>
  <c r="BK44" i="5"/>
  <c r="BM43" i="5"/>
  <c r="BN30" i="5"/>
  <c r="BN44" i="5" s="1"/>
  <c r="BM31" i="5"/>
  <c r="BG32" i="5"/>
  <c r="BJ32" i="5"/>
  <c r="BK31" i="5"/>
  <c r="BJ45" i="5" s="1"/>
  <c r="BK45" i="5"/>
  <c r="BZ30" i="5"/>
  <c r="BY43" i="5"/>
  <c r="BY31" i="5"/>
  <c r="BZ44" i="5"/>
  <c r="CB44" i="5"/>
  <c r="CC31" i="5"/>
  <c r="BP42" i="5"/>
  <c r="BQ29" i="5"/>
  <c r="BP31" i="5"/>
  <c r="BQ44" i="5"/>
  <c r="BW29" i="5" l="1"/>
  <c r="BV43" i="5" s="1"/>
  <c r="BV30" i="5"/>
  <c r="BW43" i="5"/>
  <c r="BS30" i="5"/>
  <c r="BT43" i="5"/>
  <c r="BT29" i="5"/>
  <c r="BS43" i="5" s="1"/>
  <c r="BH43" i="5"/>
  <c r="BG43" i="5"/>
  <c r="BH30" i="5"/>
  <c r="BM44" i="5"/>
  <c r="BZ31" i="5"/>
  <c r="BY44" i="5"/>
  <c r="CB45" i="5"/>
  <c r="CC32" i="5"/>
  <c r="BY32" i="5"/>
  <c r="BZ45" i="5"/>
  <c r="BQ45" i="5"/>
  <c r="BP32" i="5"/>
  <c r="BP43" i="5"/>
  <c r="BQ30" i="5"/>
  <c r="BJ33" i="5"/>
  <c r="BK32" i="5"/>
  <c r="BJ46" i="5" s="1"/>
  <c r="BK46" i="5"/>
  <c r="BG33" i="5"/>
  <c r="BN31" i="5"/>
  <c r="BN45" i="5" s="1"/>
  <c r="BM32" i="5"/>
  <c r="BS31" i="5" l="1"/>
  <c r="BT44" i="5"/>
  <c r="BT30" i="5"/>
  <c r="BS44" i="5" s="1"/>
  <c r="BW30" i="5"/>
  <c r="BV44" i="5" s="1"/>
  <c r="BW44" i="5"/>
  <c r="BV31" i="5"/>
  <c r="BH44" i="5"/>
  <c r="BG44" i="5"/>
  <c r="BH31" i="5"/>
  <c r="BM45" i="5"/>
  <c r="BG34" i="5"/>
  <c r="BG35" i="5"/>
  <c r="BY33" i="5"/>
  <c r="BZ46" i="5"/>
  <c r="BM33" i="5"/>
  <c r="BN32" i="5"/>
  <c r="BN46" i="5" s="1"/>
  <c r="BP33" i="5"/>
  <c r="BQ46" i="5"/>
  <c r="CB46" i="5"/>
  <c r="CC33" i="5"/>
  <c r="BP44" i="5"/>
  <c r="BQ31" i="5"/>
  <c r="BK33" i="5"/>
  <c r="BJ47" i="5" s="1"/>
  <c r="BJ34" i="5"/>
  <c r="BK47" i="5"/>
  <c r="BY45" i="5"/>
  <c r="BZ32" i="5"/>
  <c r="BW31" i="5" l="1"/>
  <c r="BV45" i="5" s="1"/>
  <c r="BW45" i="5"/>
  <c r="BV32" i="5"/>
  <c r="BT45" i="5"/>
  <c r="BS32" i="5"/>
  <c r="BT31" i="5"/>
  <c r="BS45" i="5" s="1"/>
  <c r="BH45" i="5"/>
  <c r="BG45" i="5"/>
  <c r="BH32" i="5"/>
  <c r="BM46" i="5"/>
  <c r="BY46" i="5"/>
  <c r="BZ33" i="5"/>
  <c r="BQ47" i="5"/>
  <c r="BP34" i="5"/>
  <c r="BQ48" i="5" s="1"/>
  <c r="CC34" i="5"/>
  <c r="CB48" i="5" s="1"/>
  <c r="CB47" i="5"/>
  <c r="BK48" i="5"/>
  <c r="BK34" i="5"/>
  <c r="BJ48" i="5" s="1"/>
  <c r="BJ35" i="5"/>
  <c r="BK35" i="5" s="1"/>
  <c r="BN33" i="5"/>
  <c r="BN47" i="5" s="1"/>
  <c r="BM34" i="5"/>
  <c r="BP45" i="5"/>
  <c r="BQ32" i="5"/>
  <c r="BY34" i="5"/>
  <c r="BZ48" i="5" s="1"/>
  <c r="BZ47" i="5"/>
  <c r="BT46" i="5" l="1"/>
  <c r="BS33" i="5"/>
  <c r="BT32" i="5"/>
  <c r="BS46" i="5" s="1"/>
  <c r="BW32" i="5"/>
  <c r="BV46" i="5" s="1"/>
  <c r="BV33" i="5"/>
  <c r="BW46" i="5"/>
  <c r="BH46" i="5"/>
  <c r="BG46" i="5"/>
  <c r="BH33" i="5"/>
  <c r="BM47" i="5"/>
  <c r="BY47" i="5"/>
  <c r="BZ34" i="5"/>
  <c r="BY48" i="5" s="1"/>
  <c r="BN34" i="5"/>
  <c r="BN48" i="5" s="1"/>
  <c r="BP46" i="5"/>
  <c r="BQ33" i="5"/>
  <c r="BW33" i="5" l="1"/>
  <c r="BV47" i="5" s="1"/>
  <c r="BW47" i="5"/>
  <c r="BV34" i="5"/>
  <c r="BT47" i="5"/>
  <c r="BS34" i="5"/>
  <c r="BT33" i="5"/>
  <c r="BS47" i="5" s="1"/>
  <c r="BH47" i="5"/>
  <c r="BG47" i="5"/>
  <c r="BH34" i="5"/>
  <c r="BM48" i="5"/>
  <c r="BP47" i="5"/>
  <c r="BQ34" i="5"/>
  <c r="BP48" i="5" s="1"/>
  <c r="BT48" i="5" l="1"/>
  <c r="BT34" i="5"/>
  <c r="BS48" i="5" s="1"/>
  <c r="BW48" i="5"/>
  <c r="BW34" i="5"/>
  <c r="BV48" i="5" s="1"/>
  <c r="BH48" i="5"/>
  <c r="BG48" i="5"/>
  <c r="BH35"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<sst xmlns="http://schemas.openxmlformats.org/spreadsheetml/2006/main" count="1131" uniqueCount="431">
  <si>
    <t>Address:</t>
  </si>
  <si>
    <t>Street:</t>
  </si>
  <si>
    <t>-</t>
  </si>
  <si>
    <t>Suburb:</t>
  </si>
  <si>
    <t>State:</t>
  </si>
  <si>
    <t>Postcode:</t>
  </si>
  <si>
    <t>Email:</t>
  </si>
  <si>
    <t>Email Server:</t>
  </si>
  <si>
    <t>Email Authentication:</t>
  </si>
  <si>
    <t>Phone Number:</t>
  </si>
  <si>
    <t>Fax Number:</t>
  </si>
  <si>
    <t>6mm Triangle</t>
  </si>
  <si>
    <t>Version:</t>
  </si>
  <si>
    <t>6mm D-ring</t>
  </si>
  <si>
    <t>Shade Sail Setup</t>
  </si>
  <si>
    <t>6mm Ezy slide</t>
  </si>
  <si>
    <t>Take off Lengths</t>
  </si>
  <si>
    <t>Turn Buckles:</t>
  </si>
  <si>
    <t>Delivery Option:</t>
  </si>
  <si>
    <t>Delivery</t>
  </si>
  <si>
    <t>Bottle Screws:</t>
  </si>
  <si>
    <t>Fold Direction:</t>
  </si>
  <si>
    <t>Topside</t>
  </si>
  <si>
    <t>Pickup</t>
  </si>
  <si>
    <t>Underside</t>
  </si>
  <si>
    <t>DATE:</t>
  </si>
  <si>
    <t>DELIVERY</t>
  </si>
  <si>
    <t>COMPANY:</t>
  </si>
  <si>
    <t>ADDRESS</t>
  </si>
  <si>
    <t>REF:</t>
  </si>
  <si>
    <t>PH/FAX:</t>
  </si>
  <si>
    <t>BRAND:</t>
  </si>
  <si>
    <t>POLYFX</t>
  </si>
  <si>
    <t>NO</t>
  </si>
  <si>
    <t>COLOUR:</t>
  </si>
  <si>
    <t>SILVER</t>
  </si>
  <si>
    <t>Corner Fittings:</t>
  </si>
  <si>
    <t>Number of fixing points</t>
  </si>
  <si>
    <t>TAKE OFF LENGTH</t>
  </si>
  <si>
    <t>REVERSE CURVE</t>
  </si>
  <si>
    <t>DIST</t>
  </si>
  <si>
    <t>POST HEIGHT</t>
  </si>
  <si>
    <t>POST</t>
  </si>
  <si>
    <t>ROOF</t>
  </si>
  <si>
    <t>LACING</t>
  </si>
  <si>
    <t>WALL</t>
  </si>
  <si>
    <t>SHACKLE</t>
  </si>
  <si>
    <t>TRACE</t>
  </si>
  <si>
    <t>SAIL TRACK</t>
  </si>
  <si>
    <t>TAG</t>
  </si>
  <si>
    <t>R</t>
  </si>
  <si>
    <t>180º</t>
  </si>
  <si>
    <t>PICK UP</t>
  </si>
  <si>
    <t>RAINBOW Z16</t>
  </si>
  <si>
    <t>COMMERCIAL 95</t>
  </si>
  <si>
    <t>SUPASHADE PLUS</t>
  </si>
  <si>
    <t>ASPIRE</t>
  </si>
  <si>
    <t>SCA-220</t>
  </si>
  <si>
    <t>DRIZ</t>
  </si>
  <si>
    <t>COMSHADE</t>
  </si>
  <si>
    <t>FR COMSHADE</t>
  </si>
  <si>
    <t>MONOTEC 370</t>
  </si>
  <si>
    <t>ABSHADE</t>
  </si>
  <si>
    <t>Z16</t>
  </si>
  <si>
    <t>DZ</t>
  </si>
  <si>
    <t>M65</t>
  </si>
  <si>
    <t>BLACK</t>
  </si>
  <si>
    <t>CHERRY RED</t>
  </si>
  <si>
    <t>CHILLI RED</t>
  </si>
  <si>
    <t>AQUATIC BLUE</t>
  </si>
  <si>
    <t>PORCELAIN</t>
  </si>
  <si>
    <t>SANDSTONE</t>
  </si>
  <si>
    <t>DARK GREEN</t>
  </si>
  <si>
    <t>RAINFOREST</t>
  </si>
  <si>
    <t>NAVY BLUE</t>
  </si>
  <si>
    <t>MARIGOLD YELLOW</t>
  </si>
  <si>
    <t>DESERT SAND</t>
  </si>
  <si>
    <t>KARLOO (sand)</t>
  </si>
  <si>
    <t>GUMLEAF</t>
  </si>
  <si>
    <t>YELLOW</t>
  </si>
  <si>
    <t>MARINE BLUE</t>
  </si>
  <si>
    <t>BRUNSWICK GREEN</t>
  </si>
  <si>
    <t>CHARCOAL</t>
  </si>
  <si>
    <t>RUST</t>
  </si>
  <si>
    <t>AQUAMARINE</t>
  </si>
  <si>
    <t>OPAL</t>
  </si>
  <si>
    <t>LIGHT BEIGE</t>
  </si>
  <si>
    <t>SILVER GREY</t>
  </si>
  <si>
    <t>BRONZE</t>
  </si>
  <si>
    <t>MIDNIGHT GREEN</t>
  </si>
  <si>
    <t>COOLABAH GREEN</t>
  </si>
  <si>
    <t>WHITE</t>
  </si>
  <si>
    <t>FOREST GREEN</t>
  </si>
  <si>
    <t>CLARET</t>
  </si>
  <si>
    <t>BLUE GUM</t>
  </si>
  <si>
    <t>TERRACOTTA</t>
  </si>
  <si>
    <t>ROYAL BLUE</t>
  </si>
  <si>
    <t>RAINFOREST GREEN</t>
  </si>
  <si>
    <t>GREY</t>
  </si>
  <si>
    <t>BUNDENA (blue)</t>
  </si>
  <si>
    <t>BRIGHT BLUE</t>
  </si>
  <si>
    <t>SUNSET RED</t>
  </si>
  <si>
    <t>SKY BLUE</t>
  </si>
  <si>
    <t>DENIM</t>
  </si>
  <si>
    <t>CHAMPAGNE</t>
  </si>
  <si>
    <t>OCHRE RED</t>
  </si>
  <si>
    <t>MULBERRY</t>
  </si>
  <si>
    <t>MEADOW GREEN</t>
  </si>
  <si>
    <t>SAHARA</t>
  </si>
  <si>
    <t>LAGUNA BLUE</t>
  </si>
  <si>
    <t>STEEL GREY</t>
  </si>
  <si>
    <t>VANILLA</t>
  </si>
  <si>
    <t>SLATE</t>
  </si>
  <si>
    <t>RIVERGUM GREEN</t>
  </si>
  <si>
    <t>ICE</t>
  </si>
  <si>
    <t>TURQUOISE</t>
  </si>
  <si>
    <t>RUST GOLD</t>
  </si>
  <si>
    <t>NATURAL</t>
  </si>
  <si>
    <t>MIST GREEN</t>
  </si>
  <si>
    <t>LIGHT GREEN</t>
  </si>
  <si>
    <t>SUNFLOWER YELLOW</t>
  </si>
  <si>
    <t>ICE WHITE</t>
  </si>
  <si>
    <t>ACT. SAIL</t>
  </si>
  <si>
    <t>DESERT SNAD</t>
  </si>
  <si>
    <t>DESERTSAND</t>
  </si>
  <si>
    <t>BLUEGUM</t>
  </si>
  <si>
    <t>NAME</t>
  </si>
  <si>
    <t>Value</t>
  </si>
  <si>
    <t>Default</t>
  </si>
  <si>
    <t>DETAILS</t>
  </si>
  <si>
    <t>MAIN</t>
  </si>
  <si>
    <t>Edge Type</t>
  </si>
  <si>
    <t>CUSTOMER:</t>
  </si>
  <si>
    <t>JUSTIN</t>
  </si>
  <si>
    <t>56 magnesium drive PH 38036000</t>
  </si>
  <si>
    <t xml:space="preserve">Number of Posts:  </t>
  </si>
  <si>
    <t>POINT-POINT</t>
  </si>
  <si>
    <t>OFFSET</t>
  </si>
  <si>
    <t>FIXED TO</t>
  </si>
  <si>
    <t>FIXING</t>
  </si>
  <si>
    <t>T/ LENGTH</t>
  </si>
  <si>
    <t>0 REF</t>
  </si>
  <si>
    <t>DIFFER BETWEEN POSTS</t>
  </si>
  <si>
    <t>Trace X</t>
  </si>
  <si>
    <t>Trace Y</t>
  </si>
  <si>
    <t>T Length</t>
  </si>
  <si>
    <t>T angle</t>
  </si>
  <si>
    <t>new X</t>
  </si>
  <si>
    <t>new Y</t>
  </si>
  <si>
    <t>A</t>
  </si>
  <si>
    <t>B</t>
  </si>
  <si>
    <t>C</t>
  </si>
  <si>
    <t>D</t>
  </si>
  <si>
    <t>E</t>
  </si>
  <si>
    <t>F</t>
  </si>
  <si>
    <t>G</t>
  </si>
  <si>
    <t>H</t>
  </si>
  <si>
    <t>ANGLE</t>
  </si>
  <si>
    <t>X</t>
  </si>
  <si>
    <t>Y</t>
  </si>
  <si>
    <t>MID X</t>
  </si>
  <si>
    <t>MID Y</t>
  </si>
  <si>
    <t>CENTRE</t>
  </si>
  <si>
    <t>A-B</t>
  </si>
  <si>
    <t>RADIUS</t>
  </si>
  <si>
    <t>DIRECTION</t>
  </si>
  <si>
    <t>B-C</t>
  </si>
  <si>
    <t>Corner Fitting</t>
  </si>
  <si>
    <t>Error</t>
  </si>
  <si>
    <t>Comments:</t>
  </si>
  <si>
    <t>Raw angles</t>
  </si>
  <si>
    <t>bt</t>
  </si>
  <si>
    <t>bw</t>
  </si>
  <si>
    <t>bz</t>
  </si>
  <si>
    <t>cc</t>
  </si>
  <si>
    <t>offsets</t>
  </si>
  <si>
    <t>Act Dist</t>
  </si>
  <si>
    <t>DIAGONAL POINT TO POINT</t>
  </si>
  <si>
    <t xml:space="preserve"> </t>
  </si>
  <si>
    <t>BOX</t>
  </si>
  <si>
    <t>x diff</t>
  </si>
  <si>
    <t>y diff</t>
  </si>
  <si>
    <t>x-min</t>
  </si>
  <si>
    <t>y-min</t>
  </si>
  <si>
    <t>x-max</t>
  </si>
  <si>
    <t>y-max</t>
  </si>
  <si>
    <t>which</t>
  </si>
  <si>
    <t>corner</t>
  </si>
  <si>
    <t>x</t>
  </si>
  <si>
    <t>y</t>
  </si>
  <si>
    <t>thor/2</t>
  </si>
  <si>
    <t>theta</t>
  </si>
  <si>
    <t>T/OFF 1</t>
  </si>
  <si>
    <t>T/OFF 2</t>
  </si>
  <si>
    <t>Z TOTAL</t>
  </si>
  <si>
    <t>x-diff</t>
  </si>
  <si>
    <t>y-diff</t>
  </si>
  <si>
    <t>TEXT</t>
  </si>
  <si>
    <t>SIGNATURE:</t>
  </si>
  <si>
    <t>Centre</t>
  </si>
  <si>
    <t>centre</t>
  </si>
  <si>
    <t>AdSaS Shade Soft Licence Agreement</t>
  </si>
  <si>
    <t>AdSaS Shade Soft shoud be used by all Shade Sails Customer for use in and outside Australia only under the following conditions.</t>
  </si>
  <si>
    <r>
      <t xml:space="preserve">IMPORTANT: By using or installing the AdSas Shade Soft product (which includes but is not limited to the software, related material, printed manuals, on-line documents and other media), hereinafter referred to as “ShadeCALC”, you (an individual or single entity or you on behalf of your employer) are agreeing to be bound by the terms and conditions of this Licence Agreement. This Licence Agreement constitutes the complete agreement between you and </t>
    </r>
    <r>
      <rPr>
        <b/>
        <sz val="10"/>
        <color indexed="23"/>
        <rFont val="Arial"/>
        <family val="2"/>
      </rPr>
      <t>Advanced Sail Structures</t>
    </r>
    <r>
      <rPr>
        <sz val="10"/>
        <color indexed="23"/>
        <rFont val="Arial"/>
        <family val="2"/>
      </rPr>
      <t xml:space="preserve">. If you do not agree to the terms and conditions of the agreement: do not install or use AdSaS Shade Soft and discontinue its use immediately; and return all </t>
    </r>
    <r>
      <rPr>
        <b/>
        <i/>
        <sz val="10"/>
        <color indexed="23"/>
        <rFont val="Arial"/>
        <family val="2"/>
      </rPr>
      <t>AdSaS Shade Soft</t>
    </r>
    <r>
      <rPr>
        <sz val="10"/>
        <color indexed="23"/>
        <rFont val="Arial"/>
        <family val="2"/>
      </rPr>
      <t xml:space="preserve"> software and related media to ABGAL.</t>
    </r>
  </si>
  <si>
    <t>DRAW</t>
  </si>
  <si>
    <t>Customer Details</t>
  </si>
  <si>
    <t>Cable Size</t>
  </si>
  <si>
    <t>Cable Style</t>
  </si>
  <si>
    <t>Customer</t>
  </si>
  <si>
    <t>Job No</t>
  </si>
  <si>
    <t>Job Number</t>
  </si>
  <si>
    <t>T8=400mm</t>
  </si>
  <si>
    <t>T10=500mm</t>
  </si>
  <si>
    <t>T12=600mm</t>
  </si>
  <si>
    <t>Phone</t>
  </si>
  <si>
    <t>Email</t>
  </si>
  <si>
    <t>Installer</t>
  </si>
  <si>
    <t>Installer:</t>
  </si>
  <si>
    <t>Sail Manufacturer</t>
  </si>
  <si>
    <t>TURN BUCKLE</t>
  </si>
  <si>
    <t>CHINO (CREAM)</t>
  </si>
  <si>
    <t>SHEBA (DARK BLUE)</t>
  </si>
  <si>
    <t>GRAPHITE (CHARCOAL)</t>
  </si>
  <si>
    <t>MORROCAN (TERRACOTTA)</t>
  </si>
  <si>
    <t>ABAROO (RED)</t>
  </si>
  <si>
    <t>KOONUNGA (GREEN)</t>
  </si>
  <si>
    <t>DOMINO (BLACK)</t>
  </si>
  <si>
    <t>LIME FIZZ (LIME)</t>
  </si>
  <si>
    <t>MELLOW HAZE (YELLOW)</t>
  </si>
  <si>
    <t>SHERBET (ORANGE)</t>
  </si>
  <si>
    <t>BUBBLEGUM (PINK)</t>
  </si>
  <si>
    <t>JAZZBERRY (PURPLE)</t>
  </si>
  <si>
    <t>RED</t>
  </si>
  <si>
    <t>CREAM</t>
  </si>
  <si>
    <t>GRAPE</t>
  </si>
  <si>
    <t>LIME</t>
  </si>
  <si>
    <t>LEMON</t>
  </si>
  <si>
    <t>BERRY</t>
  </si>
  <si>
    <t>ORANGE</t>
  </si>
  <si>
    <t>CAPPUCCINO</t>
  </si>
  <si>
    <t>CAFÉ NIOR</t>
  </si>
  <si>
    <t>CAFÉ NOIR</t>
  </si>
  <si>
    <t>COPPER</t>
  </si>
  <si>
    <t>MERLOT</t>
  </si>
  <si>
    <t>PLATINUM</t>
  </si>
  <si>
    <t>EXTREME 32</t>
  </si>
  <si>
    <t>Z 16</t>
  </si>
  <si>
    <t>NAVY</t>
  </si>
  <si>
    <t>SYNTHESYS</t>
  </si>
  <si>
    <t>GUN METAL</t>
  </si>
  <si>
    <t>RIVER GUM</t>
  </si>
  <si>
    <t>DEEP OCHRE</t>
  </si>
  <si>
    <t>CAYENNE</t>
  </si>
  <si>
    <t>ARCHITECT 400</t>
  </si>
  <si>
    <t>POLYFAB</t>
  </si>
  <si>
    <t>POLY-FX</t>
  </si>
  <si>
    <t>SLATE GREY</t>
  </si>
  <si>
    <t>DRI Z</t>
  </si>
  <si>
    <t xml:space="preserve">SILVER </t>
  </si>
  <si>
    <t xml:space="preserve">BLACK </t>
  </si>
  <si>
    <t>CINNOMON</t>
  </si>
  <si>
    <t>CHOCOLATE</t>
  </si>
  <si>
    <t>MULLBERRY</t>
  </si>
  <si>
    <t>OLIVE</t>
  </si>
  <si>
    <t>8</t>
  </si>
  <si>
    <t>FARRARI 502-802</t>
  </si>
  <si>
    <t>FARRARI 502</t>
  </si>
  <si>
    <t>01-8102 White</t>
  </si>
  <si>
    <t>02-2160 Lagoon</t>
  </si>
  <si>
    <t>03-2167 Concrete</t>
  </si>
  <si>
    <t>04-2144 Mastic</t>
  </si>
  <si>
    <t>05-2163 Turtledove</t>
  </si>
  <si>
    <t>06-2159 Cornflower</t>
  </si>
  <si>
    <t>07-1499 Shifting Grey</t>
  </si>
  <si>
    <t>08-2168 Aluminium</t>
  </si>
  <si>
    <t>09-2156 Spruce</t>
  </si>
  <si>
    <t>10-5056 Tennis</t>
  </si>
  <si>
    <t>11-2157 Aniseed</t>
  </si>
  <si>
    <t>12-2172 Carrot</t>
  </si>
  <si>
    <t>13-8204 Mandarin</t>
  </si>
  <si>
    <t>14-2166 Buttercup</t>
  </si>
  <si>
    <t>15-2165 Blackcurrant</t>
  </si>
  <si>
    <t>16-2150 Raspberry</t>
  </si>
  <si>
    <t>17-8284 Maroon</t>
  </si>
  <si>
    <t>18-2149 Beetle</t>
  </si>
  <si>
    <t>19-2158 Moss Green</t>
  </si>
  <si>
    <t>20-2137 Walnut Stain</t>
  </si>
  <si>
    <t>21-2138 Dead Leaf</t>
  </si>
  <si>
    <t>22-2012 Pepper</t>
  </si>
  <si>
    <t>23-2173 Suscan</t>
  </si>
  <si>
    <t>24-2145 Gold</t>
  </si>
  <si>
    <t>25-2148 Cocoa</t>
  </si>
  <si>
    <t>26-2141 Camel</t>
  </si>
  <si>
    <t>27-8861 Vanilla</t>
  </si>
  <si>
    <t>28-2164 Violet</t>
  </si>
  <si>
    <t>29-2151 Pale Pink</t>
  </si>
  <si>
    <t>30-1013 Chick</t>
  </si>
  <si>
    <t>31-2135 Sandy Beige</t>
  </si>
  <si>
    <t>32-8341 Campainge</t>
  </si>
  <si>
    <t>33-2162 Slate</t>
  </si>
  <si>
    <t>34-1125 Marine</t>
  </si>
  <si>
    <t>35-2161 Night Blue</t>
  </si>
  <si>
    <t>36-2136 Onyux</t>
  </si>
  <si>
    <t>37-8450 Black</t>
  </si>
  <si>
    <t>38-2171 Boulder</t>
  </si>
  <si>
    <t>39-2152 Velvet Red</t>
  </si>
  <si>
    <t>40-8255 Poppy</t>
  </si>
  <si>
    <t>NAYZL-PS 680</t>
  </si>
  <si>
    <t>WHITE 410</t>
  </si>
  <si>
    <t>CREAM 683</t>
  </si>
  <si>
    <t>VANILLA 414</t>
  </si>
  <si>
    <t>WHITE BLOCKOUT 410</t>
  </si>
  <si>
    <t>LATTE 419</t>
  </si>
  <si>
    <t>LEMON 420</t>
  </si>
  <si>
    <t>BUTTER 411</t>
  </si>
  <si>
    <t>TANGERINE 421</t>
  </si>
  <si>
    <t>FLAME 422</t>
  </si>
  <si>
    <t>MAGENTA 629</t>
  </si>
  <si>
    <t>LAVENDER 409</t>
  </si>
  <si>
    <t>SKY 412</t>
  </si>
  <si>
    <t>SAPPHIRE 413</t>
  </si>
  <si>
    <t>INK 261</t>
  </si>
  <si>
    <t>ROYAL 425</t>
  </si>
  <si>
    <t>INDIGO 262</t>
  </si>
  <si>
    <t>MIDNIGHT 431</t>
  </si>
  <si>
    <t>FOREST 265</t>
  </si>
  <si>
    <t>EMERALD 432</t>
  </si>
  <si>
    <t>PEACOCK 424</t>
  </si>
  <si>
    <t>KIWI 426</t>
  </si>
  <si>
    <t>LIME 408</t>
  </si>
  <si>
    <t>ASH 415</t>
  </si>
  <si>
    <t>ZINC 423</t>
  </si>
  <si>
    <t>PEWTAR 263</t>
  </si>
  <si>
    <t>PLATINUM 416</t>
  </si>
  <si>
    <t>SMOKE 417</t>
  </si>
  <si>
    <t>CAROB 418</t>
  </si>
  <si>
    <t>BLACK 427</t>
  </si>
  <si>
    <t>METALLIC</t>
  </si>
  <si>
    <t>GOLD 237</t>
  </si>
  <si>
    <t>BRONZE 238</t>
  </si>
  <si>
    <t>OPAL 218</t>
  </si>
  <si>
    <t>SILVER 084</t>
  </si>
  <si>
    <t>3.2mm Cable</t>
  </si>
  <si>
    <t>4.0mm Cable</t>
  </si>
  <si>
    <t>5.0mm Cable</t>
  </si>
  <si>
    <t>6.0mm Cable</t>
  </si>
  <si>
    <t>150mm Plate</t>
  </si>
  <si>
    <t>PTFE</t>
  </si>
  <si>
    <t>Thread:</t>
  </si>
  <si>
    <t>D SHACKLE</t>
  </si>
  <si>
    <t>TOGGLE</t>
  </si>
  <si>
    <t>CABLE TRACE</t>
  </si>
  <si>
    <t>Exit Point</t>
  </si>
  <si>
    <t>Exit point</t>
  </si>
  <si>
    <t>Poly Cotton</t>
  </si>
  <si>
    <t>Cable Size:</t>
  </si>
  <si>
    <t>Small Pro-Rig</t>
  </si>
  <si>
    <t>Large Pro-Rig</t>
  </si>
  <si>
    <t>Pro-Rig with m16 Tube</t>
  </si>
  <si>
    <t>Pro-Rig with m12 Tube</t>
  </si>
  <si>
    <t>100mm Plate</t>
  </si>
  <si>
    <t>Small Eezy Slide</t>
  </si>
  <si>
    <t>Large Eezy Slide</t>
  </si>
  <si>
    <t>Cable Style:</t>
  </si>
  <si>
    <t>Terminated</t>
  </si>
  <si>
    <t>Contiuous</t>
  </si>
  <si>
    <t xml:space="preserve">Inline </t>
  </si>
  <si>
    <t>Continuous</t>
  </si>
  <si>
    <t>Inline</t>
  </si>
  <si>
    <t>Welded</t>
  </si>
  <si>
    <t>Tenara</t>
  </si>
  <si>
    <t>3mm</t>
  </si>
  <si>
    <t>4mm</t>
  </si>
  <si>
    <t>5mm</t>
  </si>
  <si>
    <t>6mm</t>
  </si>
  <si>
    <t>8mm</t>
  </si>
  <si>
    <t>10mm</t>
  </si>
  <si>
    <t>Offset %:</t>
  </si>
  <si>
    <t>Offset %</t>
  </si>
  <si>
    <t>Installers</t>
  </si>
  <si>
    <t>David H</t>
  </si>
  <si>
    <t>Dayne H</t>
  </si>
  <si>
    <t>David M</t>
  </si>
  <si>
    <t>Brian V</t>
  </si>
  <si>
    <t>Matt</t>
  </si>
  <si>
    <t>Measurer</t>
  </si>
  <si>
    <t>Customer Name</t>
  </si>
  <si>
    <t>Turn Buckle Size</t>
  </si>
  <si>
    <t>D Shackle Size</t>
  </si>
  <si>
    <t>Toggle Size</t>
  </si>
  <si>
    <t>6mm Hook-Hook</t>
  </si>
  <si>
    <t>6mm Eye-Eye</t>
  </si>
  <si>
    <t>Take Off for D.S.:</t>
  </si>
  <si>
    <t>Take off Ropes/Lacing:</t>
  </si>
  <si>
    <t>Take Off for T Buckle:</t>
  </si>
  <si>
    <t>Take Off for Toggles:</t>
  </si>
  <si>
    <t>Take offs</t>
  </si>
  <si>
    <t>Turn Buckles</t>
  </si>
  <si>
    <t>D Shackles</t>
  </si>
  <si>
    <t>Toggles</t>
  </si>
  <si>
    <t>Lacing</t>
  </si>
  <si>
    <t>Size T Buckle:</t>
  </si>
  <si>
    <t>Size D Shackle:</t>
  </si>
  <si>
    <t>Size Toggle:</t>
  </si>
  <si>
    <t>8mm Hook-Hook</t>
  </si>
  <si>
    <t>8mm Eye-Eye</t>
  </si>
  <si>
    <t>10mm Hook-Hook</t>
  </si>
  <si>
    <t>10mm Eye-Eye</t>
  </si>
  <si>
    <t>12mm Hook-Hook</t>
  </si>
  <si>
    <t>12mm Eye-Eye</t>
  </si>
  <si>
    <t>16mm Hook-Hook</t>
  </si>
  <si>
    <t>16mm Eye-Eye</t>
  </si>
  <si>
    <t>12mm</t>
  </si>
  <si>
    <t xml:space="preserve">12mm@200mm </t>
  </si>
  <si>
    <t xml:space="preserve">12mm@250mm </t>
  </si>
  <si>
    <t>16mm Welded@200mm</t>
  </si>
  <si>
    <t>16mm Welded@250mm</t>
  </si>
  <si>
    <t>16mm Welded@300mm</t>
  </si>
  <si>
    <t>16mm Welded@400mm</t>
  </si>
  <si>
    <t>20mm Welded@200mm</t>
  </si>
  <si>
    <t>20mm Welded@250mm</t>
  </si>
  <si>
    <t>20mm Welded@300mm</t>
  </si>
  <si>
    <t>20mm Welded@400mm</t>
  </si>
  <si>
    <t>Cable Length</t>
  </si>
  <si>
    <t>jayson@sunsafeshadesails.com.au</t>
  </si>
  <si>
    <t>0466 256 405/ 0466 069 614</t>
  </si>
  <si>
    <t xml:space="preserve">Jayson Norris
ABN: 57 576 380 060
 PH: 0466 069 614
jayson@sunsafeshadesails.com
</t>
  </si>
  <si>
    <t>T10</t>
  </si>
  <si>
    <t>SH8</t>
  </si>
  <si>
    <t xml:space="preserve">Sun Safe Shade Sails  </t>
  </si>
  <si>
    <t>Mackay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</si>
</sst>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54" x14ac:knownFonts="1">
    <font>
      <sz val="10"/>
      <name val="Arial"/>
      <family val="2"/>
    </font>
    <font>
      <sz val="11"/>
      <color indexed="62"/>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b/>
      <sz val="16"/>
      <name val="Arial"/>
      <family val="2"/>
    </font>
    <font>
      <sz val="12"/>
      <name val="Arial"/>
      <family val="2"/>
    </font>
    <font>
      <sz val="10"/>
      <color indexed="12"/>
      <name val="Arial"/>
      <family val="2"/>
    </font>
    <font>
      <b/>
      <sz val="14"/>
      <name val="Arial"/>
      <family val="2"/>
    </font>
    <font>
      <sz val="14"/>
      <name val="Arial"/>
      <family val="2"/>
    </font>
    <font>
      <b/>
      <sz val="14"/>
      <color indexed="12"/>
      <name val="Arial"/>
      <family val="2"/>
    </font>
    <font>
      <b/>
      <sz val="12"/>
      <name val="Arial"/>
      <family val="2"/>
    </font>
    <font>
      <b/>
      <u/>
      <sz val="14"/>
      <name val="Arial"/>
      <family val="2"/>
    </font>
    <font>
      <b/>
      <sz val="14"/>
      <color indexed="10"/>
      <name val="Arial"/>
      <family val="2"/>
    </font>
    <font>
      <sz val="12"/>
      <color indexed="12"/>
      <name val="Arial"/>
      <family val="2"/>
    </font>
    <font>
      <sz val="12"/>
      <color indexed="20"/>
      <name val="Arial"/>
      <family val="2"/>
    </font>
    <font>
      <sz val="14"/>
      <color indexed="57"/>
      <name val="Arial"/>
      <family val="2"/>
    </font>
    <font>
      <b/>
      <sz val="10"/>
      <name val="Arial"/>
      <family val="2"/>
    </font>
    <font>
      <b/>
      <u/>
      <sz val="10"/>
      <name val="Arial"/>
      <family val="2"/>
    </font>
    <font>
      <b/>
      <sz val="14"/>
      <color indexed="54"/>
      <name val="Arial"/>
      <family val="2"/>
    </font>
    <font>
      <sz val="10"/>
      <color indexed="23"/>
      <name val="Arial"/>
      <family val="2"/>
    </font>
    <font>
      <sz val="10"/>
      <color indexed="9"/>
      <name val="Arial"/>
      <family val="2"/>
    </font>
    <font>
      <b/>
      <sz val="12"/>
      <color indexed="12"/>
      <name val="Arial"/>
      <family val="2"/>
    </font>
    <font>
      <i/>
      <sz val="10"/>
      <name val="Arial"/>
      <family val="2"/>
    </font>
    <font>
      <b/>
      <sz val="12"/>
      <color indexed="20"/>
      <name val="Arial"/>
      <family val="2"/>
    </font>
    <font>
      <b/>
      <sz val="10"/>
      <color indexed="10"/>
      <name val="Arial"/>
      <family val="2"/>
    </font>
    <font>
      <b/>
      <sz val="22"/>
      <color indexed="10"/>
      <name val="Arial"/>
      <family val="2"/>
    </font>
    <font>
      <sz val="10"/>
      <color indexed="10"/>
      <name val="Arial"/>
      <family val="2"/>
    </font>
    <font>
      <sz val="10"/>
      <name val="Times New Roman"/>
      <family val="1"/>
    </font>
    <font>
      <b/>
      <sz val="10"/>
      <color indexed="23"/>
      <name val="Arial"/>
      <family val="2"/>
    </font>
    <font>
      <b/>
      <i/>
      <sz val="10"/>
      <color indexed="23"/>
      <name val="Arial"/>
      <family val="2"/>
    </font>
    <font>
      <sz val="10"/>
      <name val="Arial"/>
      <family val="2"/>
    </font>
    <font>
      <b/>
      <u/>
      <sz val="16"/>
      <name val="Arial"/>
      <family val="2"/>
    </font>
    <font>
      <sz val="11"/>
      <name val="Arial"/>
      <family val="2"/>
    </font>
    <font>
      <u/>
      <sz val="6"/>
      <color theme="10"/>
      <name val="Arial"/>
      <family val="2"/>
    </font>
    <font>
      <sz val="10"/>
      <color theme="0"/>
      <name val="Arial"/>
      <family val="2"/>
    </font>
    <font>
      <b/>
      <sz val="14"/>
      <color theme="1"/>
      <name val="Arial"/>
      <family val="2"/>
    </font>
    <font>
      <u/>
      <sz val="10"/>
      <color theme="11"/>
      <name val="Arial"/>
      <family val="2"/>
    </font>
    <font>
      <b/>
      <sz val="12"/>
      <color rgb="FF000000"/>
      <name val="Calibri"/>
      <scheme val="minor"/>
    </font>
    <font>
      <sz val="12"/>
      <color rgb="FF000000"/>
      <name val="Calibri"/>
      <family val="2"/>
      <scheme val="minor"/>
    </font>
    <font>
      <sz val="8"/>
      <name val="Arial"/>
      <family val="2"/>
    </font>
    <font>
      <b/>
      <sz val="16"/>
      <color theme="0"/>
      <name val="Arial"/>
    </font>
    <font>
      <u/>
      <sz val="12"/>
      <color theme="10"/>
      <name val="Arial"/>
      <family val="2"/>
    </font>
  </fonts>
  <fills count="28">
    <fill>
      <patternFill patternType="none"/>
    </fill>
    <fill>
      <patternFill patternType="gray125"/>
    </fill>
    <fill>
      <patternFill patternType="solid">
        <fgColor indexed="9"/>
        <bgColor indexed="26"/>
      </patternFill>
    </fill>
    <fill>
      <patternFill patternType="solid">
        <fgColor indexed="47"/>
        <bgColor indexed="31"/>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22"/>
      </patternFill>
    </fill>
    <fill>
      <patternFill patternType="solid">
        <fgColor indexed="49"/>
        <bgColor indexed="40"/>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52"/>
      </patternFill>
    </fill>
    <fill>
      <patternFill patternType="solid">
        <fgColor indexed="45"/>
        <bgColor indexed="29"/>
      </patternFill>
    </fill>
    <fill>
      <patternFill patternType="solid">
        <fgColor indexed="55"/>
        <bgColor indexed="23"/>
      </patternFill>
    </fill>
    <fill>
      <patternFill patternType="solid">
        <fgColor indexed="42"/>
        <bgColor indexed="27"/>
      </patternFill>
    </fill>
    <fill>
      <patternFill patternType="solid">
        <fgColor rgb="FFFFFF00"/>
        <bgColor indexed="64"/>
      </patternFill>
    </fill>
    <fill>
      <patternFill patternType="solid">
        <fgColor theme="0" tint="-4.9989318521683403E-2"/>
        <bgColor indexed="64"/>
      </patternFill>
    </fill>
    <fill>
      <patternFill patternType="solid">
        <fgColor rgb="FFFFFF00"/>
        <bgColor indexed="26"/>
      </patternFill>
    </fill>
    <fill>
      <patternFill patternType="solid">
        <fgColor rgb="FFFFFF00"/>
        <bgColor indexed="27"/>
      </patternFill>
    </fill>
    <fill>
      <patternFill patternType="solid">
        <fgColor theme="0"/>
        <bgColor indexed="64"/>
      </patternFill>
    </fill>
    <fill>
      <patternFill patternType="solid">
        <fgColor theme="0"/>
        <bgColor indexed="26"/>
      </patternFill>
    </fill>
    <fill>
      <patternFill patternType="solid">
        <fgColor theme="0"/>
        <bgColor indexed="27"/>
      </patternFill>
    </fill>
    <fill>
      <patternFill patternType="solid">
        <fgColor rgb="FFFFFF00"/>
        <bgColor indexed="41"/>
      </patternFill>
    </fill>
    <fill>
      <patternFill patternType="solid">
        <fgColor theme="4" tint="0.79998168889431442"/>
        <bgColor indexed="64"/>
      </patternFill>
    </fill>
    <fill>
      <patternFill patternType="solid">
        <fgColor rgb="FF00B0F0"/>
        <bgColor indexed="64"/>
      </patternFill>
    </fill>
  </fills>
  <borders count="9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8"/>
      </left>
      <right/>
      <top/>
      <bottom/>
      <diagonal/>
    </border>
    <border>
      <left/>
      <right style="medium">
        <color indexed="8"/>
      </right>
      <top/>
      <bottom/>
      <diagonal/>
    </border>
    <border>
      <left style="thin">
        <color indexed="8"/>
      </left>
      <right style="thin">
        <color indexed="8"/>
      </right>
      <top style="thin">
        <color indexed="8"/>
      </top>
      <bottom style="thin">
        <color indexed="8"/>
      </bottom>
      <diagonal/>
    </border>
    <border>
      <left style="medium">
        <color indexed="8"/>
      </left>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medium">
        <color indexed="8"/>
      </right>
      <top/>
      <bottom style="medium">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top style="thin">
        <color indexed="8"/>
      </top>
      <bottom style="double">
        <color indexed="8"/>
      </bottom>
      <diagonal/>
    </border>
    <border>
      <left style="medium">
        <color indexed="8"/>
      </left>
      <right style="medium">
        <color indexed="8"/>
      </right>
      <top style="medium">
        <color indexed="8"/>
      </top>
      <bottom/>
      <diagonal/>
    </border>
    <border>
      <left style="thin">
        <color indexed="8"/>
      </left>
      <right/>
      <top style="double">
        <color indexed="8"/>
      </top>
      <bottom style="double">
        <color indexed="8"/>
      </bottom>
      <diagonal/>
    </border>
    <border>
      <left style="medium">
        <color indexed="8"/>
      </left>
      <right style="medium">
        <color indexed="8"/>
      </right>
      <top/>
      <bottom/>
      <diagonal/>
    </border>
    <border>
      <left style="thin">
        <color indexed="8"/>
      </left>
      <right/>
      <top/>
      <bottom/>
      <diagonal/>
    </border>
    <border>
      <left style="medium">
        <color indexed="8"/>
      </left>
      <right style="medium">
        <color indexed="8"/>
      </right>
      <top/>
      <bottom style="medium">
        <color indexed="8"/>
      </bottom>
      <diagonal/>
    </border>
    <border>
      <left style="thin">
        <color indexed="8"/>
      </left>
      <right/>
      <top/>
      <bottom style="thin">
        <color indexed="8"/>
      </bottom>
      <diagonal/>
    </border>
    <border>
      <left/>
      <right/>
      <top/>
      <bottom style="thin">
        <color indexed="8"/>
      </bottom>
      <diagonal/>
    </border>
    <border>
      <left style="thin">
        <color indexed="8"/>
      </left>
      <right style="medium">
        <color indexed="8"/>
      </right>
      <top style="medium">
        <color indexed="8"/>
      </top>
      <bottom/>
      <diagonal/>
    </border>
    <border>
      <left style="thin">
        <color indexed="8"/>
      </left>
      <right style="medium">
        <color indexed="8"/>
      </right>
      <top/>
      <bottom style="medium">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8"/>
      </left>
      <right style="medium">
        <color indexed="8"/>
      </right>
      <top/>
      <bottom style="thin">
        <color indexed="8"/>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8"/>
      </left>
      <right style="thin">
        <color indexed="8"/>
      </right>
      <top style="thin">
        <color indexed="8"/>
      </top>
      <bottom style="thin">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diagonal/>
    </border>
    <border>
      <left style="medium">
        <color indexed="8"/>
      </left>
      <right/>
      <top style="thin">
        <color indexed="8"/>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medium">
        <color indexed="8"/>
      </top>
      <bottom style="medium">
        <color indexed="8"/>
      </bottom>
      <diagonal/>
    </border>
    <border>
      <left style="thin">
        <color auto="1"/>
      </left>
      <right style="thin">
        <color auto="1"/>
      </right>
      <top/>
      <bottom/>
      <diagonal/>
    </border>
    <border>
      <left style="medium">
        <color indexed="8"/>
      </left>
      <right/>
      <top style="thin">
        <color indexed="8"/>
      </top>
      <bottom style="medium">
        <color indexed="8"/>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5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2" borderId="0" applyNumberFormat="0" applyBorder="0" applyAlignment="0" applyProtection="0"/>
    <xf numFmtId="0" fontId="1" fillId="5" borderId="0" applyNumberFormat="0" applyBorder="0" applyAlignment="0" applyProtection="0"/>
    <xf numFmtId="0" fontId="1" fillId="3"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9" borderId="0" applyNumberFormat="0" applyBorder="0" applyAlignment="0" applyProtection="0"/>
    <xf numFmtId="0" fontId="1" fillId="3" borderId="0" applyNumberFormat="0" applyBorder="0" applyAlignment="0" applyProtection="0"/>
    <xf numFmtId="0" fontId="2" fillId="10"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10" borderId="0" applyNumberFormat="0" applyBorder="0" applyAlignment="0" applyProtection="0"/>
    <xf numFmtId="0" fontId="2" fillId="3"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2" borderId="1" applyNumberFormat="0" applyAlignment="0" applyProtection="0"/>
    <xf numFmtId="0" fontId="5" fillId="16" borderId="2" applyNumberFormat="0" applyAlignment="0" applyProtection="0"/>
    <xf numFmtId="0" fontId="6" fillId="0" borderId="0" applyNumberFormat="0" applyFill="0" applyBorder="0" applyAlignment="0" applyProtection="0"/>
    <xf numFmtId="0" fontId="7" fillId="17"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45" fillId="0" borderId="0" applyNumberFormat="0" applyFill="0" applyBorder="0" applyAlignment="0" applyProtection="0">
      <alignment vertical="top"/>
      <protection locked="0"/>
    </xf>
    <xf numFmtId="0" fontId="1" fillId="3" borderId="1" applyNumberFormat="0" applyAlignment="0" applyProtection="0"/>
    <xf numFmtId="0" fontId="11" fillId="0" borderId="6" applyNumberFormat="0" applyFill="0" applyAlignment="0" applyProtection="0"/>
    <xf numFmtId="0" fontId="12" fillId="8" borderId="0" applyNumberFormat="0" applyBorder="0" applyAlignment="0" applyProtection="0"/>
    <xf numFmtId="0" fontId="42" fillId="4" borderId="7" applyNumberFormat="0" applyAlignment="0" applyProtection="0"/>
    <xf numFmtId="0" fontId="13" fillId="2" borderId="8" applyNumberFormat="0" applyAlignment="0" applyProtection="0"/>
    <xf numFmtId="9" fontId="42" fillId="0" borderId="0" applyFill="0" applyBorder="0" applyAlignment="0" applyProtection="0"/>
    <xf numFmtId="0" fontId="14" fillId="0" borderId="0" applyNumberFormat="0" applyFill="0" applyBorder="0" applyAlignment="0" applyProtection="0"/>
    <xf numFmtId="0" fontId="10" fillId="0" borderId="9" applyNumberFormat="0" applyFill="0" applyAlignment="0" applyProtection="0"/>
    <xf numFmtId="0" fontId="15"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cellStyleXfs>
  <cellXfs count="317">
    <xf numFmtId="0" fontId="0" fillId="0" borderId="0" xfId="0"/>
    <xf numFmtId="0" fontId="0" fillId="0" borderId="0" xfId="0" applyProtection="1">
      <protection hidden="1"/>
    </xf>
    <xf numFmtId="0" fontId="0" fillId="0" borderId="10" xfId="0" applyBorder="1" applyProtection="1">
      <protection hidden="1"/>
    </xf>
    <xf numFmtId="0" fontId="0" fillId="0" borderId="11" xfId="0" applyBorder="1" applyProtection="1">
      <protection hidden="1"/>
    </xf>
    <xf numFmtId="0" fontId="0" fillId="0" borderId="12" xfId="0" applyBorder="1" applyProtection="1">
      <protection hidden="1"/>
    </xf>
    <xf numFmtId="0" fontId="0" fillId="0" borderId="13" xfId="0" applyBorder="1" applyProtection="1">
      <protection hidden="1"/>
    </xf>
    <xf numFmtId="0" fontId="18" fillId="0" borderId="12" xfId="0" applyFont="1" applyBorder="1" applyProtection="1">
      <protection locked="0" hidden="1"/>
    </xf>
    <xf numFmtId="0" fontId="18" fillId="0" borderId="14" xfId="0" applyFont="1" applyBorder="1" applyProtection="1">
      <protection locked="0" hidden="1"/>
    </xf>
    <xf numFmtId="0" fontId="0" fillId="0" borderId="15" xfId="0" applyBorder="1" applyAlignment="1" applyProtection="1">
      <alignment horizontal="right"/>
      <protection hidden="1"/>
    </xf>
    <xf numFmtId="0" fontId="0" fillId="0" borderId="16" xfId="0" applyBorder="1" applyAlignment="1" applyProtection="1">
      <alignment horizontal="right"/>
      <protection hidden="1"/>
    </xf>
    <xf numFmtId="0" fontId="0" fillId="2" borderId="0" xfId="0" applyFill="1" applyProtection="1">
      <protection hidden="1"/>
    </xf>
    <xf numFmtId="0" fontId="0" fillId="0" borderId="17" xfId="0" applyBorder="1" applyAlignment="1" applyProtection="1">
      <alignment horizontal="right"/>
      <protection hidden="1"/>
    </xf>
    <xf numFmtId="0" fontId="0" fillId="0" borderId="18" xfId="0" applyBorder="1" applyAlignment="1" applyProtection="1">
      <alignment horizontal="left"/>
      <protection hidden="1"/>
    </xf>
    <xf numFmtId="0" fontId="0" fillId="0" borderId="19" xfId="0" applyBorder="1" applyProtection="1">
      <protection hidden="1"/>
    </xf>
    <xf numFmtId="0" fontId="19" fillId="2" borderId="20" xfId="0" applyFont="1" applyFill="1" applyBorder="1" applyAlignment="1" applyProtection="1">
      <alignment horizontal="right"/>
      <protection hidden="1"/>
    </xf>
    <xf numFmtId="0" fontId="20" fillId="2" borderId="21" xfId="0" applyFont="1" applyFill="1" applyBorder="1" applyProtection="1">
      <protection hidden="1"/>
    </xf>
    <xf numFmtId="0" fontId="21" fillId="2" borderId="21" xfId="0" applyFont="1" applyFill="1" applyBorder="1" applyProtection="1">
      <protection hidden="1"/>
    </xf>
    <xf numFmtId="0" fontId="21" fillId="2" borderId="22" xfId="0" applyFont="1" applyFill="1" applyBorder="1" applyProtection="1">
      <protection hidden="1"/>
    </xf>
    <xf numFmtId="0" fontId="20" fillId="0" borderId="0" xfId="0" applyFont="1" applyProtection="1">
      <protection hidden="1"/>
    </xf>
    <xf numFmtId="0" fontId="19" fillId="2" borderId="10" xfId="0" applyFont="1" applyFill="1" applyBorder="1" applyAlignment="1" applyProtection="1">
      <alignment horizontal="right"/>
      <protection hidden="1"/>
    </xf>
    <xf numFmtId="0" fontId="20" fillId="2" borderId="0" xfId="0" applyFont="1" applyFill="1" applyProtection="1">
      <protection hidden="1"/>
    </xf>
    <xf numFmtId="0" fontId="19" fillId="2" borderId="23" xfId="0" applyFont="1" applyFill="1" applyBorder="1" applyAlignment="1" applyProtection="1">
      <alignment horizontal="right"/>
      <protection hidden="1"/>
    </xf>
    <xf numFmtId="0" fontId="20" fillId="2" borderId="24" xfId="0" applyFont="1" applyFill="1" applyBorder="1" applyProtection="1">
      <protection hidden="1"/>
    </xf>
    <xf numFmtId="0" fontId="21" fillId="2" borderId="24" xfId="0" applyFont="1" applyFill="1" applyBorder="1" applyProtection="1">
      <protection hidden="1"/>
    </xf>
    <xf numFmtId="0" fontId="19" fillId="0" borderId="24" xfId="0" applyFont="1" applyBorder="1" applyAlignment="1" applyProtection="1">
      <alignment horizontal="right"/>
      <protection hidden="1"/>
    </xf>
    <xf numFmtId="0" fontId="19" fillId="0" borderId="0" xfId="0" applyFont="1" applyAlignment="1" applyProtection="1">
      <alignment horizontal="right"/>
      <protection hidden="1"/>
    </xf>
    <xf numFmtId="0" fontId="21" fillId="0" borderId="0" xfId="0" applyFont="1" applyAlignment="1" applyProtection="1">
      <alignment horizontal="left"/>
      <protection hidden="1"/>
    </xf>
    <xf numFmtId="0" fontId="21" fillId="0" borderId="0" xfId="0" applyFont="1" applyProtection="1">
      <protection hidden="1"/>
    </xf>
    <xf numFmtId="0" fontId="20" fillId="2" borderId="25" xfId="0" applyFont="1" applyFill="1" applyBorder="1" applyProtection="1">
      <protection hidden="1"/>
    </xf>
    <xf numFmtId="0" fontId="19" fillId="0" borderId="0" xfId="0" applyFont="1" applyAlignment="1" applyProtection="1">
      <alignment horizontal="left"/>
      <protection hidden="1"/>
    </xf>
    <xf numFmtId="0" fontId="21" fillId="2" borderId="0" xfId="0" applyFont="1" applyFill="1" applyProtection="1">
      <protection hidden="1"/>
    </xf>
    <xf numFmtId="0" fontId="23" fillId="0" borderId="0" xfId="0" applyFont="1" applyProtection="1">
      <protection hidden="1"/>
    </xf>
    <xf numFmtId="0" fontId="23" fillId="0" borderId="0" xfId="0" applyFont="1" applyAlignment="1" applyProtection="1">
      <alignment horizontal="center"/>
      <protection hidden="1"/>
    </xf>
    <xf numFmtId="0" fontId="23" fillId="0" borderId="0" xfId="0" applyFont="1" applyAlignment="1" applyProtection="1">
      <alignment horizontal="right"/>
      <protection hidden="1"/>
    </xf>
    <xf numFmtId="0" fontId="19" fillId="0" borderId="0" xfId="0" applyFont="1" applyProtection="1">
      <protection hidden="1"/>
    </xf>
    <xf numFmtId="0" fontId="20" fillId="0" borderId="27" xfId="0" applyFont="1" applyBorder="1" applyProtection="1">
      <protection locked="0" hidden="1"/>
    </xf>
    <xf numFmtId="1" fontId="25" fillId="0" borderId="27" xfId="40" applyNumberFormat="1" applyFont="1" applyFill="1" applyBorder="1" applyAlignment="1" applyProtection="1">
      <alignment horizontal="center"/>
      <protection hidden="1"/>
    </xf>
    <xf numFmtId="0" fontId="20" fillId="0" borderId="28" xfId="0" applyFont="1" applyBorder="1" applyProtection="1">
      <protection locked="0" hidden="1"/>
    </xf>
    <xf numFmtId="1" fontId="25" fillId="0" borderId="28" xfId="40" applyNumberFormat="1" applyFont="1" applyFill="1" applyBorder="1" applyAlignment="1" applyProtection="1">
      <alignment horizontal="center"/>
      <protection hidden="1"/>
    </xf>
    <xf numFmtId="1" fontId="27" fillId="5" borderId="28" xfId="0" applyNumberFormat="1" applyFont="1" applyFill="1" applyBorder="1" applyAlignment="1" applyProtection="1">
      <alignment horizontal="center"/>
      <protection locked="0" hidden="1"/>
    </xf>
    <xf numFmtId="0" fontId="20" fillId="0" borderId="29" xfId="0" applyFont="1" applyBorder="1" applyProtection="1">
      <protection locked="0" hidden="1"/>
    </xf>
    <xf numFmtId="1" fontId="25" fillId="0" borderId="29" xfId="40" applyNumberFormat="1" applyFont="1" applyFill="1" applyBorder="1" applyAlignment="1" applyProtection="1">
      <alignment horizontal="center"/>
      <protection hidden="1"/>
    </xf>
    <xf numFmtId="0" fontId="17" fillId="0" borderId="0" xfId="0" applyFont="1" applyAlignment="1" applyProtection="1">
      <alignment horizontal="right"/>
      <protection hidden="1"/>
    </xf>
    <xf numFmtId="0" fontId="22" fillId="0" borderId="0" xfId="0" applyFont="1" applyAlignment="1" applyProtection="1">
      <alignment horizontal="left"/>
      <protection hidden="1"/>
    </xf>
    <xf numFmtId="0" fontId="23" fillId="0" borderId="0" xfId="0" applyFont="1" applyAlignment="1" applyProtection="1">
      <alignment horizontal="left"/>
      <protection hidden="1"/>
    </xf>
    <xf numFmtId="0" fontId="24" fillId="0" borderId="0" xfId="0" applyFont="1" applyAlignment="1" applyProtection="1">
      <alignment horizontal="center" vertical="center"/>
      <protection hidden="1"/>
    </xf>
    <xf numFmtId="0" fontId="20" fillId="0" borderId="0" xfId="0" applyFont="1" applyAlignment="1" applyProtection="1">
      <alignment horizontal="center"/>
      <protection hidden="1"/>
    </xf>
    <xf numFmtId="164" fontId="20" fillId="0" borderId="0" xfId="40" applyNumberFormat="1" applyFont="1" applyFill="1" applyBorder="1" applyAlignment="1" applyProtection="1">
      <alignment horizontal="center"/>
      <protection hidden="1"/>
    </xf>
    <xf numFmtId="0" fontId="0" fillId="0" borderId="0" xfId="0" applyAlignment="1" applyProtection="1">
      <alignment horizontal="right"/>
      <protection hidden="1"/>
    </xf>
    <xf numFmtId="0" fontId="0" fillId="0" borderId="0" xfId="0" applyAlignment="1" applyProtection="1">
      <alignment horizontal="left"/>
      <protection hidden="1"/>
    </xf>
    <xf numFmtId="0" fontId="0" fillId="0" borderId="0" xfId="0" applyAlignment="1" applyProtection="1">
      <alignment horizontal="center"/>
      <protection hidden="1"/>
    </xf>
    <xf numFmtId="9" fontId="0" fillId="0" borderId="0" xfId="40" applyFont="1" applyFill="1" applyBorder="1" applyAlignment="1" applyProtection="1">
      <protection hidden="1"/>
    </xf>
    <xf numFmtId="9" fontId="0" fillId="0" borderId="0" xfId="0" applyNumberFormat="1" applyProtection="1">
      <protection hidden="1"/>
    </xf>
    <xf numFmtId="0" fontId="0" fillId="0" borderId="31" xfId="0" applyBorder="1"/>
    <xf numFmtId="0" fontId="0" fillId="0" borderId="31" xfId="0" applyBorder="1" applyProtection="1">
      <protection hidden="1"/>
    </xf>
    <xf numFmtId="49" fontId="0" fillId="0" borderId="31" xfId="0" applyNumberFormat="1" applyBorder="1"/>
    <xf numFmtId="0" fontId="0" fillId="0" borderId="20" xfId="0" applyBorder="1" applyProtection="1">
      <protection hidden="1"/>
    </xf>
    <xf numFmtId="0" fontId="0" fillId="0" borderId="32" xfId="0" applyBorder="1" applyProtection="1">
      <protection hidden="1"/>
    </xf>
    <xf numFmtId="0" fontId="0" fillId="0" borderId="33" xfId="0" applyBorder="1" applyAlignment="1">
      <alignment horizontal="left"/>
    </xf>
    <xf numFmtId="0" fontId="0" fillId="0" borderId="33" xfId="0" applyBorder="1" applyAlignment="1" applyProtection="1">
      <alignment horizontal="left"/>
      <protection hidden="1"/>
    </xf>
    <xf numFmtId="0" fontId="0" fillId="0" borderId="34" xfId="0" applyBorder="1" applyProtection="1">
      <protection hidden="1"/>
    </xf>
    <xf numFmtId="49" fontId="0" fillId="0" borderId="35" xfId="0" applyNumberFormat="1" applyBorder="1" applyProtection="1">
      <protection hidden="1"/>
    </xf>
    <xf numFmtId="49" fontId="0" fillId="0" borderId="35" xfId="0" applyNumberFormat="1" applyBorder="1"/>
    <xf numFmtId="0" fontId="0" fillId="0" borderId="35" xfId="0" applyBorder="1"/>
    <xf numFmtId="49" fontId="0" fillId="0" borderId="23" xfId="0" applyNumberFormat="1" applyBorder="1" applyProtection="1">
      <protection hidden="1"/>
    </xf>
    <xf numFmtId="0" fontId="0" fillId="0" borderId="36" xfId="0" applyBorder="1" applyProtection="1">
      <protection hidden="1"/>
    </xf>
    <xf numFmtId="49" fontId="0" fillId="0" borderId="37" xfId="0" applyNumberFormat="1" applyBorder="1"/>
    <xf numFmtId="0" fontId="0" fillId="2" borderId="21" xfId="0" applyFill="1" applyBorder="1" applyProtection="1">
      <protection hidden="1"/>
    </xf>
    <xf numFmtId="0" fontId="28" fillId="2" borderId="21" xfId="0" applyFont="1" applyFill="1" applyBorder="1" applyProtection="1">
      <protection hidden="1"/>
    </xf>
    <xf numFmtId="0" fontId="28" fillId="2" borderId="22" xfId="0" applyFont="1" applyFill="1" applyBorder="1" applyProtection="1">
      <protection hidden="1"/>
    </xf>
    <xf numFmtId="49" fontId="19" fillId="2" borderId="0" xfId="0" applyNumberFormat="1" applyFont="1" applyFill="1" applyAlignment="1" applyProtection="1">
      <alignment horizontal="left"/>
      <protection hidden="1"/>
    </xf>
    <xf numFmtId="0" fontId="28" fillId="2" borderId="0" xfId="0" applyFont="1" applyFill="1" applyProtection="1">
      <protection hidden="1"/>
    </xf>
    <xf numFmtId="0" fontId="0" fillId="2" borderId="25" xfId="0" applyFill="1" applyBorder="1" applyProtection="1">
      <protection hidden="1"/>
    </xf>
    <xf numFmtId="0" fontId="19" fillId="2" borderId="26" xfId="0" applyFont="1" applyFill="1" applyBorder="1" applyProtection="1">
      <protection hidden="1"/>
    </xf>
    <xf numFmtId="0" fontId="29" fillId="0" borderId="0" xfId="0" applyFont="1" applyProtection="1">
      <protection hidden="1"/>
    </xf>
    <xf numFmtId="0" fontId="29" fillId="0" borderId="0" xfId="0" applyFont="1" applyAlignment="1" applyProtection="1">
      <alignment horizontal="center"/>
      <protection hidden="1"/>
    </xf>
    <xf numFmtId="0" fontId="29" fillId="0" borderId="0" xfId="0" applyFont="1" applyAlignment="1" applyProtection="1">
      <alignment horizontal="right"/>
      <protection hidden="1"/>
    </xf>
    <xf numFmtId="0" fontId="28" fillId="0" borderId="0" xfId="0" applyFont="1" applyProtection="1">
      <protection hidden="1"/>
    </xf>
    <xf numFmtId="1" fontId="19" fillId="0" borderId="30" xfId="0" applyNumberFormat="1" applyFont="1" applyBorder="1" applyAlignment="1" applyProtection="1">
      <alignment horizontal="center"/>
      <protection hidden="1"/>
    </xf>
    <xf numFmtId="0" fontId="28" fillId="0" borderId="0" xfId="0" applyFont="1" applyAlignment="1" applyProtection="1">
      <alignment horizontal="right"/>
      <protection hidden="1"/>
    </xf>
    <xf numFmtId="1" fontId="19" fillId="0" borderId="0" xfId="0" applyNumberFormat="1" applyFont="1" applyAlignment="1" applyProtection="1">
      <alignment horizontal="center"/>
      <protection hidden="1"/>
    </xf>
    <xf numFmtId="1" fontId="19" fillId="0" borderId="37" xfId="0" applyNumberFormat="1" applyFont="1" applyBorder="1" applyAlignment="1" applyProtection="1">
      <alignment horizontal="center"/>
      <protection hidden="1"/>
    </xf>
    <xf numFmtId="1" fontId="19" fillId="0" borderId="38" xfId="0" applyNumberFormat="1" applyFont="1" applyBorder="1" applyAlignment="1" applyProtection="1">
      <alignment horizontal="center"/>
      <protection hidden="1"/>
    </xf>
    <xf numFmtId="164" fontId="0" fillId="0" borderId="0" xfId="40" applyNumberFormat="1" applyFont="1" applyFill="1" applyBorder="1" applyAlignment="1" applyProtection="1">
      <alignment horizontal="center"/>
      <protection hidden="1"/>
    </xf>
    <xf numFmtId="0" fontId="29" fillId="0" borderId="0" xfId="0" applyFont="1" applyAlignment="1" applyProtection="1">
      <alignment horizontal="left"/>
      <protection hidden="1"/>
    </xf>
    <xf numFmtId="0" fontId="0" fillId="2" borderId="0" xfId="0" applyFill="1" applyAlignment="1" applyProtection="1">
      <alignment horizontal="center"/>
      <protection hidden="1"/>
    </xf>
    <xf numFmtId="9" fontId="0" fillId="2" borderId="0" xfId="40" applyFont="1" applyFill="1" applyBorder="1" applyAlignment="1" applyProtection="1">
      <protection hidden="1"/>
    </xf>
    <xf numFmtId="9" fontId="0" fillId="2" borderId="0" xfId="0" applyNumberFormat="1" applyFill="1" applyProtection="1">
      <protection hidden="1"/>
    </xf>
    <xf numFmtId="0" fontId="0" fillId="2" borderId="32" xfId="0" applyFill="1" applyBorder="1" applyProtection="1">
      <protection hidden="1"/>
    </xf>
    <xf numFmtId="0" fontId="0" fillId="2" borderId="34" xfId="0" applyFill="1" applyBorder="1" applyProtection="1">
      <protection hidden="1"/>
    </xf>
    <xf numFmtId="49" fontId="0" fillId="0" borderId="0" xfId="0" applyNumberFormat="1"/>
    <xf numFmtId="14" fontId="0" fillId="0" borderId="0" xfId="0" applyNumberFormat="1"/>
    <xf numFmtId="1" fontId="0" fillId="0" borderId="0" xfId="0" applyNumberFormat="1"/>
    <xf numFmtId="165" fontId="0" fillId="0" borderId="0" xfId="0" applyNumberFormat="1"/>
    <xf numFmtId="9" fontId="0" fillId="0" borderId="0" xfId="0" applyNumberFormat="1"/>
    <xf numFmtId="0" fontId="32" fillId="0" borderId="0" xfId="0" applyFont="1"/>
    <xf numFmtId="0" fontId="32" fillId="0" borderId="0" xfId="0" applyFont="1" applyProtection="1">
      <protection hidden="1"/>
    </xf>
    <xf numFmtId="14" fontId="0" fillId="0" borderId="0" xfId="0" applyNumberFormat="1" applyProtection="1">
      <protection hidden="1"/>
    </xf>
    <xf numFmtId="0" fontId="20" fillId="0" borderId="0" xfId="0" applyFont="1" applyAlignment="1" applyProtection="1">
      <alignment horizontal="left"/>
      <protection hidden="1"/>
    </xf>
    <xf numFmtId="0" fontId="33" fillId="0" borderId="0" xfId="0" applyFont="1" applyProtection="1">
      <protection hidden="1"/>
    </xf>
    <xf numFmtId="0" fontId="22" fillId="0" borderId="0" xfId="0" applyFont="1" applyProtection="1">
      <protection hidden="1"/>
    </xf>
    <xf numFmtId="0" fontId="22" fillId="0" borderId="26" xfId="0" applyFont="1" applyBorder="1" applyProtection="1">
      <protection hidden="1"/>
    </xf>
    <xf numFmtId="0" fontId="34" fillId="0" borderId="0" xfId="0" applyFont="1" applyProtection="1">
      <protection hidden="1"/>
    </xf>
    <xf numFmtId="0" fontId="24" fillId="0" borderId="28" xfId="0" applyFont="1" applyBorder="1" applyAlignment="1" applyProtection="1">
      <alignment horizontal="center"/>
      <protection hidden="1"/>
    </xf>
    <xf numFmtId="0" fontId="24" fillId="0" borderId="27" xfId="0" applyFont="1" applyBorder="1" applyAlignment="1" applyProtection="1">
      <alignment horizontal="center"/>
      <protection hidden="1"/>
    </xf>
    <xf numFmtId="9" fontId="25" fillId="0" borderId="27" xfId="40" applyFont="1" applyFill="1" applyBorder="1" applyAlignment="1" applyProtection="1">
      <alignment horizontal="center"/>
      <protection hidden="1"/>
    </xf>
    <xf numFmtId="0" fontId="35" fillId="0" borderId="27" xfId="0" applyFont="1" applyBorder="1" applyAlignment="1" applyProtection="1">
      <alignment horizontal="center"/>
      <protection hidden="1"/>
    </xf>
    <xf numFmtId="0" fontId="36" fillId="0" borderId="0" xfId="0" applyFont="1" applyAlignment="1" applyProtection="1">
      <alignment horizontal="center"/>
      <protection hidden="1"/>
    </xf>
    <xf numFmtId="0" fontId="20" fillId="0" borderId="27" xfId="0" applyFont="1" applyBorder="1" applyAlignment="1" applyProtection="1">
      <alignment horizontal="center"/>
      <protection hidden="1"/>
    </xf>
    <xf numFmtId="0" fontId="27" fillId="0" borderId="27" xfId="0" applyFont="1" applyBorder="1" applyAlignment="1" applyProtection="1">
      <alignment horizontal="center"/>
      <protection hidden="1"/>
    </xf>
    <xf numFmtId="1" fontId="0" fillId="0" borderId="0" xfId="0" applyNumberFormat="1" applyProtection="1">
      <protection hidden="1"/>
    </xf>
    <xf numFmtId="9" fontId="25" fillId="0" borderId="28" xfId="40" applyFont="1" applyFill="1" applyBorder="1" applyAlignment="1" applyProtection="1">
      <alignment horizontal="center"/>
      <protection hidden="1"/>
    </xf>
    <xf numFmtId="0" fontId="35" fillId="0" borderId="28" xfId="0" applyFont="1" applyBorder="1" applyAlignment="1" applyProtection="1">
      <alignment horizontal="center"/>
      <protection hidden="1"/>
    </xf>
    <xf numFmtId="0" fontId="20" fillId="0" borderId="28" xfId="0" applyFont="1" applyBorder="1" applyAlignment="1" applyProtection="1">
      <alignment horizontal="center"/>
      <protection hidden="1"/>
    </xf>
    <xf numFmtId="0" fontId="27" fillId="0" borderId="28" xfId="0" applyFont="1" applyBorder="1" applyAlignment="1" applyProtection="1">
      <alignment horizontal="center"/>
      <protection hidden="1"/>
    </xf>
    <xf numFmtId="0" fontId="24" fillId="0" borderId="29" xfId="0" applyFont="1" applyBorder="1" applyAlignment="1" applyProtection="1">
      <alignment horizontal="center"/>
      <protection hidden="1"/>
    </xf>
    <xf numFmtId="9" fontId="25" fillId="0" borderId="29" xfId="40" applyFont="1" applyFill="1" applyBorder="1" applyAlignment="1" applyProtection="1">
      <alignment horizontal="center"/>
      <protection hidden="1"/>
    </xf>
    <xf numFmtId="0" fontId="35" fillId="0" borderId="29" xfId="0" applyFont="1" applyBorder="1" applyAlignment="1" applyProtection="1">
      <alignment horizontal="center"/>
      <protection hidden="1"/>
    </xf>
    <xf numFmtId="0" fontId="20" fillId="0" borderId="29" xfId="0" applyFont="1" applyBorder="1" applyAlignment="1" applyProtection="1">
      <alignment horizontal="center"/>
      <protection hidden="1"/>
    </xf>
    <xf numFmtId="0" fontId="27" fillId="0" borderId="29" xfId="0" applyFont="1" applyBorder="1" applyAlignment="1" applyProtection="1">
      <alignment horizontal="center"/>
      <protection hidden="1"/>
    </xf>
    <xf numFmtId="0" fontId="17" fillId="0" borderId="0" xfId="0" applyFont="1" applyProtection="1">
      <protection hidden="1"/>
    </xf>
    <xf numFmtId="0" fontId="0" fillId="0" borderId="29" xfId="0" applyBorder="1" applyProtection="1">
      <protection hidden="1"/>
    </xf>
    <xf numFmtId="0" fontId="28" fillId="0" borderId="29" xfId="0" applyFont="1" applyBorder="1" applyProtection="1">
      <protection hidden="1"/>
    </xf>
    <xf numFmtId="0" fontId="0" fillId="0" borderId="39" xfId="0" applyBorder="1" applyAlignment="1" applyProtection="1">
      <alignment horizontal="center"/>
      <protection hidden="1"/>
    </xf>
    <xf numFmtId="0" fontId="0" fillId="0" borderId="37" xfId="0" applyBorder="1" applyProtection="1">
      <protection hidden="1"/>
    </xf>
    <xf numFmtId="0" fontId="0" fillId="0" borderId="38" xfId="0" applyBorder="1" applyProtection="1">
      <protection hidden="1"/>
    </xf>
    <xf numFmtId="164" fontId="0" fillId="0" borderId="40" xfId="40" applyNumberFormat="1" applyFont="1" applyFill="1" applyBorder="1" applyAlignment="1" applyProtection="1">
      <alignment horizontal="center"/>
      <protection hidden="1"/>
    </xf>
    <xf numFmtId="0" fontId="37" fillId="0" borderId="0" xfId="0" applyFont="1" applyAlignment="1" applyProtection="1">
      <alignment horizontal="center" vertical="center"/>
      <protection hidden="1"/>
    </xf>
    <xf numFmtId="164" fontId="17" fillId="0" borderId="0" xfId="40" applyNumberFormat="1" applyFont="1" applyFill="1" applyBorder="1" applyAlignment="1" applyProtection="1">
      <protection hidden="1"/>
    </xf>
    <xf numFmtId="0" fontId="0" fillId="0" borderId="41" xfId="0" applyBorder="1" applyProtection="1">
      <protection hidden="1"/>
    </xf>
    <xf numFmtId="0" fontId="0" fillId="0" borderId="30" xfId="0" applyBorder="1" applyProtection="1">
      <protection hidden="1"/>
    </xf>
    <xf numFmtId="0" fontId="0" fillId="0" borderId="42" xfId="0" applyBorder="1" applyProtection="1">
      <protection hidden="1"/>
    </xf>
    <xf numFmtId="0" fontId="0" fillId="0" borderId="35" xfId="0" applyBorder="1" applyAlignment="1" applyProtection="1">
      <alignment horizontal="right"/>
      <protection hidden="1"/>
    </xf>
    <xf numFmtId="0" fontId="0" fillId="0" borderId="35" xfId="0" applyBorder="1" applyProtection="1">
      <protection hidden="1"/>
    </xf>
    <xf numFmtId="0" fontId="0" fillId="0" borderId="43" xfId="0" applyBorder="1" applyProtection="1">
      <protection hidden="1"/>
    </xf>
    <xf numFmtId="0" fontId="38"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0" fillId="0" borderId="0" xfId="0" applyAlignment="1" applyProtection="1">
      <alignment vertical="top"/>
      <protection hidden="1"/>
    </xf>
    <xf numFmtId="0" fontId="0" fillId="0" borderId="44" xfId="0" applyBorder="1" applyProtection="1">
      <protection hidden="1"/>
    </xf>
    <xf numFmtId="1" fontId="0" fillId="0" borderId="35" xfId="0" applyNumberFormat="1" applyBorder="1" applyProtection="1">
      <protection hidden="1"/>
    </xf>
    <xf numFmtId="0" fontId="39" fillId="0" borderId="0" xfId="0" applyFont="1" applyProtection="1">
      <protection hidden="1"/>
    </xf>
    <xf numFmtId="0" fontId="22" fillId="0" borderId="0" xfId="0" applyFont="1" applyAlignment="1" applyProtection="1">
      <alignment horizontal="right"/>
      <protection hidden="1"/>
    </xf>
    <xf numFmtId="0" fontId="17" fillId="2" borderId="0" xfId="0" applyFont="1" applyFill="1" applyAlignment="1" applyProtection="1">
      <alignment vertical="top"/>
      <protection hidden="1"/>
    </xf>
    <xf numFmtId="0" fontId="19" fillId="2" borderId="0" xfId="0" applyFont="1" applyFill="1" applyProtection="1">
      <protection hidden="1"/>
    </xf>
    <xf numFmtId="0" fontId="19" fillId="0" borderId="45" xfId="0" applyFont="1" applyBorder="1" applyAlignment="1" applyProtection="1">
      <alignment horizontal="right"/>
      <protection hidden="1"/>
    </xf>
    <xf numFmtId="0" fontId="19" fillId="0" borderId="46" xfId="0" applyFont="1" applyBorder="1" applyAlignment="1" applyProtection="1">
      <alignment horizontal="right"/>
      <protection hidden="1"/>
    </xf>
    <xf numFmtId="0" fontId="20" fillId="0" borderId="46" xfId="0" applyFont="1" applyBorder="1" applyProtection="1">
      <protection hidden="1"/>
    </xf>
    <xf numFmtId="0" fontId="19" fillId="0" borderId="46" xfId="0" applyFont="1" applyBorder="1" applyAlignment="1" applyProtection="1">
      <alignment horizontal="left"/>
      <protection hidden="1"/>
    </xf>
    <xf numFmtId="0" fontId="19" fillId="0" borderId="47" xfId="0" applyFont="1" applyBorder="1" applyAlignment="1" applyProtection="1">
      <alignment horizontal="left"/>
      <protection hidden="1"/>
    </xf>
    <xf numFmtId="0" fontId="0" fillId="0" borderId="48" xfId="0" applyBorder="1" applyProtection="1">
      <protection hidden="1"/>
    </xf>
    <xf numFmtId="0" fontId="0" fillId="0" borderId="49" xfId="0" applyBorder="1" applyAlignment="1" applyProtection="1">
      <alignment horizontal="right"/>
      <protection hidden="1"/>
    </xf>
    <xf numFmtId="0" fontId="46" fillId="0" borderId="32" xfId="0" applyFont="1" applyBorder="1" applyAlignment="1" applyProtection="1">
      <alignment horizontal="center"/>
      <protection hidden="1"/>
    </xf>
    <xf numFmtId="1" fontId="47" fillId="0" borderId="29" xfId="0" applyNumberFormat="1" applyFont="1" applyBorder="1" applyAlignment="1" applyProtection="1">
      <alignment horizontal="center"/>
      <protection hidden="1"/>
    </xf>
    <xf numFmtId="0" fontId="49" fillId="0" borderId="79" xfId="0" applyFont="1" applyBorder="1"/>
    <xf numFmtId="0" fontId="0" fillId="0" borderId="79" xfId="0" applyBorder="1"/>
    <xf numFmtId="0" fontId="50" fillId="0" borderId="79" xfId="0" applyFont="1" applyBorder="1"/>
    <xf numFmtId="0" fontId="0" fillId="18" borderId="0" xfId="0" applyFill="1" applyProtection="1">
      <protection hidden="1"/>
    </xf>
    <xf numFmtId="0" fontId="22" fillId="22" borderId="45" xfId="0" applyFont="1" applyFill="1" applyBorder="1" applyProtection="1">
      <protection hidden="1"/>
    </xf>
    <xf numFmtId="49" fontId="19" fillId="23" borderId="46" xfId="0" applyNumberFormat="1" applyFont="1" applyFill="1" applyBorder="1" applyAlignment="1" applyProtection="1">
      <alignment horizontal="left"/>
      <protection hidden="1"/>
    </xf>
    <xf numFmtId="49" fontId="19" fillId="23" borderId="47" xfId="0" applyNumberFormat="1" applyFont="1" applyFill="1" applyBorder="1" applyAlignment="1" applyProtection="1">
      <alignment horizontal="left"/>
      <protection hidden="1"/>
    </xf>
    <xf numFmtId="0" fontId="18" fillId="18" borderId="27" xfId="0" applyFont="1" applyFill="1" applyBorder="1" applyAlignment="1" applyProtection="1">
      <alignment horizontal="left"/>
      <protection locked="0" hidden="1"/>
    </xf>
    <xf numFmtId="9" fontId="18" fillId="18" borderId="81" xfId="0" applyNumberFormat="1" applyFont="1" applyFill="1" applyBorder="1" applyAlignment="1" applyProtection="1">
      <alignment horizontal="left"/>
      <protection locked="0" hidden="1"/>
    </xf>
    <xf numFmtId="9" fontId="20" fillId="0" borderId="0" xfId="0" applyNumberFormat="1" applyFont="1" applyAlignment="1" applyProtection="1">
      <alignment horizontal="center" vertical="center"/>
      <protection hidden="1"/>
    </xf>
    <xf numFmtId="0" fontId="26" fillId="21" borderId="28" xfId="0" applyFont="1" applyFill="1" applyBorder="1" applyAlignment="1" applyProtection="1">
      <alignment horizontal="center"/>
      <protection locked="0" hidden="1"/>
    </xf>
    <xf numFmtId="0" fontId="26" fillId="21" borderId="29" xfId="0" applyFont="1" applyFill="1" applyBorder="1" applyAlignment="1" applyProtection="1">
      <alignment horizontal="center"/>
      <protection locked="0" hidden="1"/>
    </xf>
    <xf numFmtId="0" fontId="17" fillId="21" borderId="27" xfId="0" applyFont="1" applyFill="1" applyBorder="1" applyAlignment="1" applyProtection="1">
      <alignment horizontal="center"/>
      <protection locked="0" hidden="1"/>
    </xf>
    <xf numFmtId="0" fontId="17" fillId="21" borderId="28" xfId="0" applyFont="1" applyFill="1" applyBorder="1" applyAlignment="1" applyProtection="1">
      <alignment horizontal="center"/>
      <protection locked="0" hidden="1"/>
    </xf>
    <xf numFmtId="0" fontId="20" fillId="21" borderId="28" xfId="0" applyFont="1" applyFill="1" applyBorder="1" applyAlignment="1" applyProtection="1">
      <alignment horizontal="center"/>
      <protection locked="0" hidden="1"/>
    </xf>
    <xf numFmtId="0" fontId="20" fillId="25" borderId="28" xfId="0" applyFont="1" applyFill="1" applyBorder="1" applyAlignment="1" applyProtection="1">
      <alignment horizontal="center"/>
      <protection locked="0" hidden="1"/>
    </xf>
    <xf numFmtId="1" fontId="24" fillId="25" borderId="28" xfId="0" applyNumberFormat="1" applyFont="1" applyFill="1" applyBorder="1" applyAlignment="1" applyProtection="1">
      <alignment horizontal="center"/>
      <protection locked="0" hidden="1"/>
    </xf>
    <xf numFmtId="1" fontId="24" fillId="25" borderId="29" xfId="0" applyNumberFormat="1" applyFont="1" applyFill="1" applyBorder="1" applyAlignment="1" applyProtection="1">
      <alignment horizontal="center"/>
      <protection locked="0" hidden="1"/>
    </xf>
    <xf numFmtId="0" fontId="21" fillId="20" borderId="26" xfId="0" applyFont="1" applyFill="1" applyBorder="1" applyProtection="1">
      <protection locked="0" hidden="1"/>
    </xf>
    <xf numFmtId="0" fontId="18" fillId="18" borderId="18" xfId="0" applyFont="1" applyFill="1" applyBorder="1" applyAlignment="1" applyProtection="1">
      <alignment horizontal="left"/>
      <protection locked="0" hidden="1"/>
    </xf>
    <xf numFmtId="0" fontId="18" fillId="18" borderId="81" xfId="0" applyFont="1" applyFill="1" applyBorder="1" applyAlignment="1" applyProtection="1">
      <alignment horizontal="left"/>
      <protection locked="0" hidden="1"/>
    </xf>
    <xf numFmtId="0" fontId="0" fillId="22" borderId="0" xfId="0" applyFill="1"/>
    <xf numFmtId="1" fontId="19" fillId="0" borderId="83" xfId="0" applyNumberFormat="1" applyFont="1" applyBorder="1" applyAlignment="1" applyProtection="1">
      <alignment horizontal="center"/>
      <protection hidden="1"/>
    </xf>
    <xf numFmtId="0" fontId="19" fillId="22" borderId="0" xfId="0" applyFont="1" applyFill="1" applyAlignment="1" applyProtection="1">
      <alignment horizontal="left"/>
      <protection hidden="1"/>
    </xf>
    <xf numFmtId="0" fontId="16" fillId="0" borderId="0" xfId="0" applyFont="1" applyAlignment="1" applyProtection="1">
      <alignment horizontal="right"/>
      <protection hidden="1"/>
    </xf>
    <xf numFmtId="0" fontId="19" fillId="0" borderId="51" xfId="0" applyFont="1" applyBorder="1" applyAlignment="1" applyProtection="1">
      <alignment horizontal="left" vertical="center"/>
      <protection hidden="1"/>
    </xf>
    <xf numFmtId="1" fontId="19" fillId="0" borderId="0" xfId="0" applyNumberFormat="1" applyFont="1" applyAlignment="1" applyProtection="1">
      <alignment horizontal="center" vertical="center"/>
      <protection hidden="1"/>
    </xf>
    <xf numFmtId="1" fontId="19" fillId="0" borderId="51" xfId="0" applyNumberFormat="1" applyFont="1" applyBorder="1" applyAlignment="1" applyProtection="1">
      <alignment horizontal="center"/>
      <protection hidden="1"/>
    </xf>
    <xf numFmtId="0" fontId="20" fillId="0" borderId="83" xfId="0" applyFont="1" applyBorder="1" applyAlignment="1" applyProtection="1">
      <alignment horizontal="center"/>
      <protection hidden="1"/>
    </xf>
    <xf numFmtId="0" fontId="20" fillId="0" borderId="37" xfId="0" applyFont="1" applyBorder="1" applyAlignment="1" applyProtection="1">
      <alignment horizontal="center"/>
      <protection hidden="1"/>
    </xf>
    <xf numFmtId="0" fontId="20" fillId="0" borderId="91" xfId="0" applyFont="1" applyBorder="1" applyAlignment="1" applyProtection="1">
      <alignment horizontal="center"/>
      <protection hidden="1"/>
    </xf>
    <xf numFmtId="0" fontId="20" fillId="0" borderId="51" xfId="0" applyFont="1" applyBorder="1" applyAlignment="1" applyProtection="1">
      <alignment horizontal="center"/>
      <protection hidden="1"/>
    </xf>
    <xf numFmtId="0" fontId="20" fillId="0" borderId="92" xfId="0" applyFont="1" applyBorder="1" applyAlignment="1" applyProtection="1">
      <alignment horizontal="center"/>
      <protection hidden="1"/>
    </xf>
    <xf numFmtId="0" fontId="20" fillId="0" borderId="93" xfId="0" applyFont="1" applyBorder="1" applyAlignment="1" applyProtection="1">
      <alignment horizontal="center"/>
      <protection hidden="1"/>
    </xf>
    <xf numFmtId="166" fontId="0" fillId="0" borderId="36" xfId="40" applyNumberFormat="1" applyFont="1" applyFill="1" applyBorder="1" applyAlignment="1" applyProtection="1">
      <alignment horizontal="center"/>
      <protection hidden="1"/>
    </xf>
    <xf numFmtId="9" fontId="17" fillId="0" borderId="0" xfId="40" applyFont="1" applyFill="1" applyBorder="1" applyAlignment="1" applyProtection="1">
      <alignment horizontal="center"/>
      <protection hidden="1"/>
    </xf>
    <xf numFmtId="9" fontId="17" fillId="0" borderId="94" xfId="40" applyFont="1" applyFill="1" applyBorder="1" applyAlignment="1" applyProtection="1">
      <alignment horizontal="center"/>
      <protection hidden="1"/>
    </xf>
    <xf numFmtId="0" fontId="0" fillId="0" borderId="95" xfId="0" applyBorder="1" applyAlignment="1" applyProtection="1">
      <alignment horizontal="center"/>
      <protection hidden="1"/>
    </xf>
    <xf numFmtId="9" fontId="17" fillId="0" borderId="96" xfId="40" applyFont="1" applyFill="1" applyBorder="1" applyAlignment="1" applyProtection="1">
      <alignment horizontal="center"/>
      <protection hidden="1"/>
    </xf>
    <xf numFmtId="0" fontId="0" fillId="0" borderId="86" xfId="0" applyBorder="1" applyAlignment="1" applyProtection="1">
      <alignment horizontal="center"/>
      <protection hidden="1"/>
    </xf>
    <xf numFmtId="0" fontId="0" fillId="0" borderId="88" xfId="0" applyBorder="1" applyAlignment="1" applyProtection="1">
      <alignment horizontal="center"/>
      <protection hidden="1"/>
    </xf>
    <xf numFmtId="9" fontId="17" fillId="0" borderId="84" xfId="40" applyFont="1" applyFill="1" applyBorder="1" applyAlignment="1" applyProtection="1">
      <alignment horizontal="center"/>
      <protection hidden="1"/>
    </xf>
    <xf numFmtId="0" fontId="0" fillId="0" borderId="90" xfId="0" applyBorder="1" applyAlignment="1" applyProtection="1">
      <alignment horizontal="center"/>
      <protection hidden="1"/>
    </xf>
    <xf numFmtId="1" fontId="17" fillId="26" borderId="89" xfId="0" applyNumberFormat="1" applyFont="1" applyFill="1" applyBorder="1" applyAlignment="1" applyProtection="1">
      <alignment horizontal="center"/>
      <protection hidden="1"/>
    </xf>
    <xf numFmtId="1" fontId="17" fillId="26" borderId="94" xfId="40" applyNumberFormat="1" applyFont="1" applyFill="1" applyBorder="1" applyAlignment="1" applyProtection="1">
      <alignment horizontal="center"/>
      <protection hidden="1"/>
    </xf>
    <xf numFmtId="1" fontId="17" fillId="26" borderId="96" xfId="40" applyNumberFormat="1" applyFont="1" applyFill="1" applyBorder="1" applyAlignment="1" applyProtection="1">
      <alignment horizontal="center"/>
      <protection hidden="1"/>
    </xf>
    <xf numFmtId="1" fontId="17" fillId="26" borderId="0" xfId="40" applyNumberFormat="1" applyFont="1" applyFill="1" applyBorder="1" applyAlignment="1" applyProtection="1">
      <alignment horizontal="center"/>
      <protection hidden="1"/>
    </xf>
    <xf numFmtId="1" fontId="17" fillId="26" borderId="84" xfId="40" applyNumberFormat="1" applyFont="1" applyFill="1" applyBorder="1" applyAlignment="1" applyProtection="1">
      <alignment horizontal="center"/>
      <protection hidden="1"/>
    </xf>
    <xf numFmtId="49" fontId="22" fillId="22" borderId="45" xfId="0" applyNumberFormat="1" applyFont="1" applyFill="1" applyBorder="1" applyProtection="1">
      <protection hidden="1"/>
    </xf>
    <xf numFmtId="1" fontId="24" fillId="25" borderId="28" xfId="0" applyNumberFormat="1" applyFont="1" applyFill="1" applyBorder="1" applyAlignment="1" applyProtection="1">
      <alignment horizontal="center"/>
      <protection locked="0" hidden="1"/>
    </xf>
    <xf numFmtId="0" fontId="20" fillId="0" borderId="0" xfId="0" applyFont="1" applyAlignment="1" applyProtection="1">
      <alignment horizontal="left"/>
      <protection locked="0" hidden="1"/>
    </xf>
    <xf numFmtId="0" fontId="20" fillId="0" borderId="0" xfId="0" applyFont="1" applyAlignment="1" applyProtection="1">
      <alignment horizontal="left"/>
      <protection hidden="1"/>
    </xf>
    <xf numFmtId="0" fontId="22" fillId="0" borderId="0" xfId="0" applyFont="1" applyAlignment="1" applyProtection="1">
      <alignment horizontal="right"/>
      <protection hidden="1"/>
    </xf>
    <xf numFmtId="0" fontId="19" fillId="0" borderId="0" xfId="0" applyFont="1" applyAlignment="1" applyProtection="1">
      <alignment horizontal="right"/>
      <protection hidden="1"/>
    </xf>
    <xf numFmtId="0" fontId="19" fillId="24" borderId="0" xfId="0" applyFont="1" applyFill="1" applyProtection="1">
      <protection locked="0" hidden="1"/>
    </xf>
    <xf numFmtId="0" fontId="23" fillId="0" borderId="0" xfId="0" applyFont="1" applyAlignment="1" applyProtection="1">
      <alignment horizontal="center" vertical="top" wrapText="1"/>
      <protection hidden="1"/>
    </xf>
    <xf numFmtId="0" fontId="23" fillId="0" borderId="0" xfId="0" applyFont="1" applyAlignment="1" applyProtection="1">
      <alignment horizontal="left"/>
      <protection hidden="1"/>
    </xf>
    <xf numFmtId="0" fontId="23" fillId="0" borderId="0" xfId="0" applyFont="1" applyAlignment="1" applyProtection="1">
      <alignment horizontal="center"/>
      <protection hidden="1"/>
    </xf>
    <xf numFmtId="0" fontId="19" fillId="2" borderId="66" xfId="0" applyFont="1" applyFill="1" applyBorder="1" applyAlignment="1" applyProtection="1">
      <alignment horizontal="right"/>
      <protection hidden="1"/>
    </xf>
    <xf numFmtId="49" fontId="21" fillId="20" borderId="67" xfId="0" applyNumberFormat="1" applyFont="1" applyFill="1" applyBorder="1" applyAlignment="1" applyProtection="1">
      <alignment horizontal="left"/>
      <protection locked="0" hidden="1"/>
    </xf>
    <xf numFmtId="0" fontId="19" fillId="24" borderId="0" xfId="0" applyFont="1" applyFill="1" applyProtection="1">
      <protection hidden="1"/>
    </xf>
    <xf numFmtId="0" fontId="19" fillId="24" borderId="0" xfId="0" applyFont="1" applyFill="1" applyAlignment="1" applyProtection="1">
      <alignment horizontal="left"/>
      <protection locked="0" hidden="1"/>
    </xf>
    <xf numFmtId="0" fontId="19" fillId="2" borderId="23" xfId="0" applyFont="1" applyFill="1" applyBorder="1" applyAlignment="1" applyProtection="1">
      <alignment horizontal="right"/>
      <protection hidden="1"/>
    </xf>
    <xf numFmtId="0" fontId="21" fillId="2" borderId="19" xfId="0" applyFont="1" applyFill="1" applyBorder="1" applyAlignment="1" applyProtection="1">
      <alignment horizontal="left"/>
      <protection locked="0" hidden="1"/>
    </xf>
    <xf numFmtId="0" fontId="21" fillId="2" borderId="19" xfId="0" applyFont="1" applyFill="1" applyBorder="1" applyAlignment="1" applyProtection="1">
      <alignment horizontal="left"/>
      <protection hidden="1"/>
    </xf>
    <xf numFmtId="0" fontId="19" fillId="0" borderId="0" xfId="0" applyFont="1" applyAlignment="1" applyProtection="1">
      <alignment horizontal="left"/>
      <protection hidden="1"/>
    </xf>
    <xf numFmtId="0" fontId="19" fillId="2" borderId="20" xfId="0" applyFont="1" applyFill="1" applyBorder="1" applyAlignment="1" applyProtection="1">
      <alignment horizontal="right"/>
      <protection hidden="1"/>
    </xf>
    <xf numFmtId="14" fontId="21" fillId="2" borderId="21" xfId="0" applyNumberFormat="1" applyFont="1" applyFill="1" applyBorder="1" applyAlignment="1" applyProtection="1">
      <alignment horizontal="left"/>
      <protection hidden="1"/>
    </xf>
    <xf numFmtId="0" fontId="21" fillId="2" borderId="22" xfId="0" applyFont="1" applyFill="1" applyBorder="1" applyAlignment="1" applyProtection="1">
      <alignment horizontal="left"/>
      <protection hidden="1"/>
    </xf>
    <xf numFmtId="0" fontId="19" fillId="2" borderId="10" xfId="0" applyFont="1" applyFill="1" applyBorder="1" applyAlignment="1" applyProtection="1">
      <alignment horizontal="right"/>
      <protection hidden="1"/>
    </xf>
    <xf numFmtId="0" fontId="21" fillId="2" borderId="11" xfId="0" applyFont="1" applyFill="1" applyBorder="1" applyAlignment="1" applyProtection="1">
      <alignment horizontal="left"/>
      <protection hidden="1"/>
    </xf>
    <xf numFmtId="0" fontId="0" fillId="0" borderId="63" xfId="0" applyBorder="1" applyAlignment="1" applyProtection="1">
      <alignment horizontal="center"/>
      <protection hidden="1"/>
    </xf>
    <xf numFmtId="0" fontId="0" fillId="0" borderId="62" xfId="0" applyBorder="1" applyAlignment="1" applyProtection="1">
      <alignment horizontal="right"/>
      <protection hidden="1"/>
    </xf>
    <xf numFmtId="0" fontId="0" fillId="0" borderId="64" xfId="0" applyBorder="1" applyAlignment="1" applyProtection="1">
      <alignment horizontal="right"/>
      <protection hidden="1"/>
    </xf>
    <xf numFmtId="49" fontId="18" fillId="0" borderId="14" xfId="0" applyNumberFormat="1" applyFont="1" applyBorder="1" applyAlignment="1" applyProtection="1">
      <alignment horizontal="left"/>
      <protection locked="0" hidden="1"/>
    </xf>
    <xf numFmtId="0" fontId="0" fillId="0" borderId="26" xfId="0" applyBorder="1" applyAlignment="1" applyProtection="1">
      <alignment horizontal="center"/>
      <protection hidden="1"/>
    </xf>
    <xf numFmtId="0" fontId="18" fillId="0" borderId="14" xfId="0" applyFont="1" applyBorder="1" applyAlignment="1" applyProtection="1">
      <alignment horizontal="left"/>
      <protection locked="0" hidden="1"/>
    </xf>
    <xf numFmtId="0" fontId="0" fillId="0" borderId="15" xfId="0" applyBorder="1" applyAlignment="1" applyProtection="1">
      <alignment horizontal="right"/>
      <protection hidden="1"/>
    </xf>
    <xf numFmtId="0" fontId="16" fillId="0" borderId="32" xfId="0" applyFont="1" applyBorder="1" applyAlignment="1" applyProtection="1">
      <alignment horizontal="center"/>
      <protection hidden="1"/>
    </xf>
    <xf numFmtId="0" fontId="0" fillId="0" borderId="32" xfId="0" applyBorder="1" applyAlignment="1" applyProtection="1">
      <alignment horizontal="center"/>
      <protection hidden="1"/>
    </xf>
    <xf numFmtId="0" fontId="0" fillId="0" borderId="50" xfId="0" applyBorder="1" applyAlignment="1" applyProtection="1">
      <alignment horizontal="right"/>
      <protection hidden="1"/>
    </xf>
    <xf numFmtId="0" fontId="0" fillId="0" borderId="51" xfId="0" applyBorder="1" applyAlignment="1" applyProtection="1">
      <alignment horizontal="right"/>
      <protection hidden="1"/>
    </xf>
    <xf numFmtId="0" fontId="18" fillId="18" borderId="51" xfId="0" applyFont="1" applyFill="1" applyBorder="1" applyAlignment="1" applyProtection="1">
      <alignment horizontal="left" vertical="center"/>
      <protection locked="0" hidden="1"/>
    </xf>
    <xf numFmtId="0" fontId="18" fillId="18" borderId="52" xfId="0" applyFont="1" applyFill="1" applyBorder="1" applyAlignment="1" applyProtection="1">
      <alignment horizontal="left" vertical="center"/>
      <protection locked="0" hidden="1"/>
    </xf>
    <xf numFmtId="0" fontId="18" fillId="0" borderId="53" xfId="0" applyFont="1" applyBorder="1" applyAlignment="1" applyProtection="1">
      <alignment horizontal="left"/>
      <protection locked="0" hidden="1"/>
    </xf>
    <xf numFmtId="0" fontId="0" fillId="0" borderId="54" xfId="0" applyBorder="1" applyAlignment="1">
      <alignment horizontal="right"/>
    </xf>
    <xf numFmtId="0" fontId="0" fillId="0" borderId="55" xfId="0" applyBorder="1" applyAlignment="1">
      <alignment horizontal="right"/>
    </xf>
    <xf numFmtId="0" fontId="0" fillId="18" borderId="56" xfId="0" applyFill="1" applyBorder="1" applyAlignment="1">
      <alignment horizontal="left" vertical="center"/>
    </xf>
    <xf numFmtId="0" fontId="0" fillId="18" borderId="57" xfId="0" applyFill="1" applyBorder="1" applyAlignment="1">
      <alignment horizontal="left" vertical="center"/>
    </xf>
    <xf numFmtId="0" fontId="0" fillId="18" borderId="58" xfId="0" applyFill="1" applyBorder="1" applyAlignment="1">
      <alignment horizontal="left" vertical="center"/>
    </xf>
    <xf numFmtId="0" fontId="0" fillId="18" borderId="59" xfId="0" applyFill="1" applyBorder="1" applyAlignment="1" applyProtection="1">
      <alignment horizontal="left" vertical="center"/>
      <protection hidden="1"/>
    </xf>
    <xf numFmtId="0" fontId="0" fillId="18" borderId="60" xfId="0" applyFill="1" applyBorder="1" applyAlignment="1" applyProtection="1">
      <alignment horizontal="left" vertical="center"/>
      <protection hidden="1"/>
    </xf>
    <xf numFmtId="0" fontId="0" fillId="18" borderId="61" xfId="0" applyFill="1" applyBorder="1" applyAlignment="1" applyProtection="1">
      <alignment horizontal="left" vertical="center"/>
      <protection hidden="1"/>
    </xf>
    <xf numFmtId="0" fontId="0" fillId="0" borderId="80" xfId="0" applyBorder="1" applyAlignment="1" applyProtection="1">
      <alignment horizontal="right"/>
      <protection hidden="1"/>
    </xf>
    <xf numFmtId="0" fontId="0" fillId="0" borderId="17" xfId="0" applyBorder="1" applyAlignment="1" applyProtection="1">
      <alignment horizontal="right"/>
      <protection hidden="1"/>
    </xf>
    <xf numFmtId="0" fontId="0" fillId="0" borderId="66" xfId="0" applyBorder="1" applyAlignment="1" applyProtection="1">
      <alignment horizontal="right"/>
      <protection hidden="1"/>
    </xf>
    <xf numFmtId="0" fontId="0" fillId="0" borderId="82" xfId="0" applyBorder="1" applyAlignment="1" applyProtection="1">
      <alignment horizontal="right"/>
      <protection hidden="1"/>
    </xf>
    <xf numFmtId="0" fontId="0" fillId="0" borderId="65" xfId="0" applyBorder="1" applyAlignment="1" applyProtection="1">
      <alignment horizontal="right"/>
      <protection hidden="1"/>
    </xf>
    <xf numFmtId="0" fontId="19" fillId="0" borderId="12" xfId="0" applyFont="1" applyBorder="1" applyAlignment="1" applyProtection="1">
      <alignment horizontal="right"/>
      <protection hidden="1"/>
    </xf>
    <xf numFmtId="0" fontId="19" fillId="0" borderId="76" xfId="0" applyFont="1" applyBorder="1" applyAlignment="1" applyProtection="1">
      <alignment horizontal="left"/>
      <protection hidden="1"/>
    </xf>
    <xf numFmtId="0" fontId="19" fillId="0" borderId="77" xfId="0" applyFont="1" applyBorder="1" applyAlignment="1" applyProtection="1">
      <alignment horizontal="left"/>
      <protection hidden="1"/>
    </xf>
    <xf numFmtId="0" fontId="19" fillId="22" borderId="76" xfId="0" applyFont="1" applyFill="1" applyBorder="1" applyAlignment="1" applyProtection="1">
      <alignment horizontal="left" vertical="center"/>
      <protection hidden="1"/>
    </xf>
    <xf numFmtId="0" fontId="19" fillId="22" borderId="77" xfId="0" applyFont="1" applyFill="1" applyBorder="1" applyAlignment="1" applyProtection="1">
      <alignment horizontal="left" vertical="center"/>
      <protection hidden="1"/>
    </xf>
    <xf numFmtId="0" fontId="29" fillId="0" borderId="0" xfId="0" applyFont="1" applyAlignment="1" applyProtection="1">
      <alignment horizontal="center" wrapText="1"/>
      <protection hidden="1"/>
    </xf>
    <xf numFmtId="0" fontId="29" fillId="0" borderId="0" xfId="0" applyFont="1" applyAlignment="1" applyProtection="1">
      <alignment horizontal="center" vertical="top" wrapText="1"/>
      <protection hidden="1"/>
    </xf>
    <xf numFmtId="0" fontId="29" fillId="0" borderId="0" xfId="0" applyFont="1" applyAlignment="1" applyProtection="1">
      <alignment horizontal="center"/>
      <protection hidden="1"/>
    </xf>
    <xf numFmtId="0" fontId="19" fillId="2" borderId="12" xfId="0" applyFont="1" applyFill="1" applyBorder="1" applyProtection="1">
      <protection hidden="1"/>
    </xf>
    <xf numFmtId="0" fontId="53" fillId="2" borderId="24" xfId="34" applyFont="1" applyFill="1" applyBorder="1" applyAlignment="1" applyProtection="1">
      <alignment horizontal="left" vertical="center"/>
      <protection hidden="1"/>
    </xf>
    <xf numFmtId="0" fontId="53" fillId="2" borderId="19" xfId="34" applyFont="1" applyFill="1" applyBorder="1" applyAlignment="1" applyProtection="1">
      <alignment horizontal="left" vertical="center"/>
      <protection hidden="1"/>
    </xf>
    <xf numFmtId="0" fontId="19" fillId="2" borderId="11" xfId="0" applyFont="1" applyFill="1" applyBorder="1" applyAlignment="1" applyProtection="1">
      <alignment horizontal="left"/>
      <protection hidden="1"/>
    </xf>
    <xf numFmtId="0" fontId="19" fillId="2" borderId="19" xfId="0" applyFont="1" applyFill="1" applyBorder="1" applyAlignment="1" applyProtection="1">
      <alignment horizontal="left"/>
      <protection hidden="1"/>
    </xf>
    <xf numFmtId="14" fontId="19" fillId="2" borderId="21" xfId="0" applyNumberFormat="1" applyFont="1" applyFill="1" applyBorder="1" applyAlignment="1" applyProtection="1">
      <alignment horizontal="left"/>
      <protection hidden="1"/>
    </xf>
    <xf numFmtId="0" fontId="19" fillId="2" borderId="22" xfId="0" applyFont="1" applyFill="1" applyBorder="1" applyAlignment="1" applyProtection="1">
      <alignment horizontal="left"/>
      <protection hidden="1"/>
    </xf>
    <xf numFmtId="0" fontId="29" fillId="0" borderId="0" xfId="0" applyFont="1" applyAlignment="1" applyProtection="1">
      <alignment horizontal="left"/>
      <protection hidden="1"/>
    </xf>
    <xf numFmtId="0" fontId="43" fillId="0" borderId="68" xfId="0" applyFont="1" applyBorder="1" applyAlignment="1">
      <alignment horizontal="center"/>
    </xf>
    <xf numFmtId="0" fontId="17" fillId="0" borderId="69" xfId="0" applyFont="1" applyBorder="1" applyAlignment="1">
      <alignment horizontal="center"/>
    </xf>
    <xf numFmtId="0" fontId="17" fillId="0" borderId="70" xfId="0" applyFont="1" applyBorder="1" applyAlignment="1">
      <alignment horizontal="center"/>
    </xf>
    <xf numFmtId="0" fontId="19" fillId="19" borderId="71" xfId="0" applyFont="1" applyFill="1" applyBorder="1" applyAlignment="1">
      <alignment horizontal="center" vertical="center" wrapText="1"/>
    </xf>
    <xf numFmtId="0" fontId="19" fillId="19" borderId="0" xfId="0" applyFont="1" applyFill="1" applyAlignment="1">
      <alignment horizontal="center" vertical="center" wrapText="1"/>
    </xf>
    <xf numFmtId="0" fontId="19" fillId="19" borderId="72" xfId="0" applyFont="1" applyFill="1" applyBorder="1" applyAlignment="1">
      <alignment horizontal="center" vertical="center" wrapText="1"/>
    </xf>
    <xf numFmtId="0" fontId="19" fillId="19" borderId="73" xfId="0" applyFont="1" applyFill="1" applyBorder="1" applyAlignment="1">
      <alignment horizontal="center" vertical="center" wrapText="1"/>
    </xf>
    <xf numFmtId="0" fontId="19" fillId="19" borderId="74" xfId="0" applyFont="1" applyFill="1" applyBorder="1" applyAlignment="1">
      <alignment horizontal="center" vertical="center" wrapText="1"/>
    </xf>
    <xf numFmtId="0" fontId="19" fillId="19" borderId="75" xfId="0" applyFont="1" applyFill="1" applyBorder="1" applyAlignment="1">
      <alignment horizontal="center" vertical="center" wrapText="1"/>
    </xf>
    <xf numFmtId="0" fontId="19" fillId="18" borderId="85" xfId="0" applyFont="1" applyFill="1" applyBorder="1" applyAlignment="1" applyProtection="1">
      <alignment horizontal="left" vertical="top" wrapText="1"/>
      <protection hidden="1"/>
    </xf>
    <xf numFmtId="0" fontId="0" fillId="18" borderId="86" xfId="0" applyFill="1" applyBorder="1" applyAlignment="1">
      <alignment horizontal="left" vertical="top" wrapText="1"/>
    </xf>
    <xf numFmtId="0" fontId="0" fillId="18" borderId="87" xfId="0" applyFill="1" applyBorder="1" applyAlignment="1">
      <alignment horizontal="left" vertical="top" wrapText="1"/>
    </xf>
    <xf numFmtId="0" fontId="0" fillId="18" borderId="88" xfId="0" applyFill="1" applyBorder="1" applyAlignment="1">
      <alignment horizontal="left" vertical="top" wrapText="1"/>
    </xf>
    <xf numFmtId="0" fontId="0" fillId="18" borderId="89" xfId="0" applyFill="1" applyBorder="1" applyAlignment="1">
      <alignment horizontal="left" vertical="top" wrapText="1"/>
    </xf>
    <xf numFmtId="0" fontId="0" fillId="18" borderId="90" xfId="0" applyFill="1" applyBorder="1" applyAlignment="1">
      <alignment horizontal="left" vertical="top" wrapText="1"/>
    </xf>
    <xf numFmtId="0" fontId="19" fillId="27" borderId="85" xfId="0" applyFont="1" applyFill="1" applyBorder="1" applyAlignment="1" applyProtection="1">
      <alignment horizontal="left" vertical="top" wrapText="1"/>
      <protection hidden="1"/>
    </xf>
    <xf numFmtId="0" fontId="0" fillId="27" borderId="86" xfId="0" applyFill="1" applyBorder="1" applyAlignment="1">
      <alignment horizontal="left" vertical="top" wrapText="1"/>
    </xf>
    <xf numFmtId="0" fontId="0" fillId="27" borderId="87" xfId="0" applyFill="1" applyBorder="1" applyAlignment="1">
      <alignment horizontal="left" vertical="top" wrapText="1"/>
    </xf>
    <xf numFmtId="0" fontId="0" fillId="27" borderId="88" xfId="0" applyFill="1" applyBorder="1" applyAlignment="1">
      <alignment horizontal="left" vertical="top" wrapText="1"/>
    </xf>
    <xf numFmtId="0" fontId="0" fillId="27" borderId="89" xfId="0" applyFill="1" applyBorder="1" applyAlignment="1">
      <alignment horizontal="left" vertical="top" wrapText="1"/>
    </xf>
    <xf numFmtId="0" fontId="0" fillId="27" borderId="90" xfId="0" applyFill="1" applyBorder="1" applyAlignment="1">
      <alignment horizontal="left" vertical="top" wrapText="1"/>
    </xf>
    <xf numFmtId="0" fontId="20" fillId="0" borderId="68" xfId="0" applyFont="1" applyBorder="1" applyAlignment="1">
      <alignment horizontal="left" vertical="top" wrapText="1"/>
    </xf>
    <xf numFmtId="0" fontId="20" fillId="0" borderId="69" xfId="0" applyFont="1" applyBorder="1" applyAlignment="1">
      <alignment horizontal="left" vertical="top" wrapText="1"/>
    </xf>
    <xf numFmtId="0" fontId="20" fillId="0" borderId="70" xfId="0" applyFont="1" applyBorder="1" applyAlignment="1">
      <alignment horizontal="left" vertical="top" wrapText="1"/>
    </xf>
    <xf numFmtId="0" fontId="20" fillId="0" borderId="71" xfId="0" applyFont="1" applyBorder="1" applyAlignment="1">
      <alignment horizontal="left" vertical="top" wrapText="1"/>
    </xf>
    <xf numFmtId="0" fontId="20" fillId="0" borderId="0" xfId="0" applyFont="1" applyAlignment="1">
      <alignment horizontal="left" vertical="top" wrapText="1"/>
    </xf>
    <xf numFmtId="0" fontId="20" fillId="0" borderId="72" xfId="0" applyFont="1" applyBorder="1" applyAlignment="1">
      <alignment horizontal="left" vertical="top" wrapText="1"/>
    </xf>
    <xf numFmtId="0" fontId="20" fillId="0" borderId="73" xfId="0" applyFont="1" applyBorder="1" applyAlignment="1">
      <alignment horizontal="left" vertical="top" wrapText="1"/>
    </xf>
    <xf numFmtId="0" fontId="20" fillId="0" borderId="74" xfId="0" applyFont="1" applyBorder="1" applyAlignment="1">
      <alignment horizontal="left" vertical="top" wrapText="1"/>
    </xf>
    <xf numFmtId="0" fontId="20" fillId="0" borderId="75" xfId="0" applyFont="1" applyBorder="1" applyAlignment="1">
      <alignment horizontal="left" vertical="top" wrapText="1"/>
    </xf>
    <xf numFmtId="0" fontId="44" fillId="0" borderId="71" xfId="0" applyFont="1" applyBorder="1" applyAlignment="1">
      <alignment horizontal="center" vertical="center" wrapText="1" readingOrder="1"/>
    </xf>
    <xf numFmtId="0" fontId="44" fillId="0" borderId="0" xfId="0" applyFont="1" applyAlignment="1">
      <alignment horizontal="center" vertical="center" wrapText="1" readingOrder="1"/>
    </xf>
    <xf numFmtId="0" fontId="44" fillId="0" borderId="72" xfId="0" applyFont="1" applyBorder="1" applyAlignment="1">
      <alignment horizontal="center" vertical="center" wrapText="1" readingOrder="1"/>
    </xf>
    <xf numFmtId="0" fontId="44" fillId="0" borderId="73" xfId="0" applyFont="1" applyBorder="1" applyAlignment="1">
      <alignment horizontal="center" vertical="center" wrapText="1" readingOrder="1"/>
    </xf>
    <xf numFmtId="0" fontId="44" fillId="0" borderId="74" xfId="0" applyFont="1" applyBorder="1" applyAlignment="1">
      <alignment horizontal="center" vertical="center" wrapText="1" readingOrder="1"/>
    </xf>
    <xf numFmtId="0" fontId="44" fillId="0" borderId="75" xfId="0" applyFont="1" applyBorder="1" applyAlignment="1">
      <alignment horizontal="center" vertical="center" wrapText="1" readingOrder="1"/>
    </xf>
    <xf numFmtId="0" fontId="19" fillId="22" borderId="76" xfId="0" applyFont="1" applyFill="1" applyBorder="1" applyAlignment="1" applyProtection="1">
      <alignment horizontal="left"/>
      <protection hidden="1"/>
    </xf>
    <xf numFmtId="0" fontId="19" fillId="22" borderId="77" xfId="0" applyFont="1" applyFill="1" applyBorder="1" applyAlignment="1" applyProtection="1">
      <alignment horizontal="left"/>
      <protection hidden="1"/>
    </xf>
    <xf numFmtId="0" fontId="52" fillId="0" borderId="26" xfId="0" applyFont="1" applyBorder="1" applyAlignment="1" applyProtection="1">
      <alignment horizontal="center" vertical="center" wrapText="1"/>
      <protection hidden="1"/>
    </xf>
    <xf numFmtId="0" fontId="0" fillId="0" borderId="0" xfId="0" applyAlignment="1" applyProtection="1">
      <alignment horizontal="center"/>
      <protection hidden="1"/>
    </xf>
    <xf numFmtId="0" fontId="20" fillId="0" borderId="12" xfId="0" applyFont="1" applyBorder="1" applyAlignment="1" applyProtection="1">
      <alignment horizontal="left"/>
      <protection hidden="1"/>
    </xf>
    <xf numFmtId="0" fontId="17" fillId="0" borderId="12" xfId="0" applyFont="1" applyBorder="1" applyAlignment="1" applyProtection="1">
      <alignment horizontal="left" vertical="top"/>
      <protection hidden="1"/>
    </xf>
    <xf numFmtId="0" fontId="30" fillId="0" borderId="0" xfId="0" applyFont="1" applyAlignment="1" applyProtection="1">
      <alignment horizontal="center"/>
      <protection hidden="1"/>
    </xf>
    <xf numFmtId="0" fontId="31" fillId="0" borderId="0" xfId="0" applyFont="1" applyAlignment="1" applyProtection="1">
      <alignment horizontal="left"/>
      <protection hidden="1"/>
    </xf>
    <xf numFmtId="0" fontId="31" fillId="0" borderId="0" xfId="0" applyFont="1" applyAlignment="1" applyProtection="1">
      <alignment horizontal="left" vertical="top" wrapText="1"/>
      <protection hidden="1"/>
    </xf>
    <xf numFmtId="0" fontId="22" fillId="0" borderId="11" xfId="0" applyFont="1" applyBorder="1" applyAlignment="1" applyProtection="1">
      <alignment horizontal="right"/>
      <protection hidden="1"/>
    </xf>
    <xf numFmtId="0" fontId="29" fillId="0" borderId="0" xfId="0" applyFont="1" applyAlignment="1" applyProtection="1">
      <alignment horizontal="right"/>
      <protection hidden="1"/>
    </xf>
    <xf numFmtId="0" fontId="37" fillId="0" borderId="78" xfId="0" applyFont="1" applyBorder="1" applyAlignment="1" applyProtection="1">
      <alignment horizontal="center" vertical="center"/>
      <protection hidden="1"/>
    </xf>
    <xf numFmtId="0" fontId="0" fillId="0" borderId="12" xfId="0" applyBorder="1" applyAlignment="1" applyProtection="1">
      <alignment horizontal="center"/>
      <protection hidden="1"/>
    </xf>
    <xf numFmtId="0" fontId="21" fillId="0" borderId="0" xfId="0" applyFont="1" applyAlignment="1" applyProtection="1">
      <alignment horizontal="left"/>
      <protection hidden="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AU"/>
              <a:t>Sail - birds eye view </a:t>
            </a:r>
          </a:p>
        </c:rich>
      </c:tx>
      <c:layout>
        <c:manualLayout>
          <c:xMode val="edge"/>
          <c:yMode val="edge"/>
          <c:x val="0.38452114247389801"/>
          <c:y val="2.8813559322033899E-2"/>
        </c:manualLayout>
      </c:layout>
      <c:overlay val="0"/>
      <c:spPr>
        <a:noFill/>
        <a:ln w="25400">
          <a:noFill/>
        </a:ln>
      </c:spPr>
    </c:title>
    <c:autoTitleDeleted val="0"/>
    <c:plotArea>
      <c:layout>
        <c:manualLayout>
          <c:layoutTarget val="inner"/>
          <c:xMode val="edge"/>
          <c:yMode val="edge"/>
          <c:x val="1.8427529481347901E-2"/>
          <c:y val="1.3317877455623199E-2"/>
          <c:w val="0.95713812003600796"/>
          <c:h val="0.96295320356050595"/>
        </c:manualLayout>
      </c:layout>
      <c:scatterChart>
        <c:scatterStyle val="lineMarker"/>
        <c:varyColors val="0"/>
        <c:ser>
          <c:idx val="0"/>
          <c:order val="0"/>
          <c:spPr>
            <a:ln w="25400">
              <a:solidFill>
                <a:srgbClr val="FF0000"/>
              </a:solidFill>
              <a:prstDash val="solid"/>
            </a:ln>
          </c:spPr>
          <c:marker>
            <c:symbol val="diamond"/>
            <c:size val="5"/>
            <c:spPr>
              <a:solidFill>
                <a:srgbClr val="FF0000"/>
              </a:solidFill>
              <a:ln>
                <a:solidFill>
                  <a:srgbClr val="FF0000"/>
                </a:solidFill>
                <a:prstDash val="solid"/>
              </a:ln>
            </c:spPr>
          </c:marker>
          <c:xVal>
            <c:numRef>
              <c:f>'shade check'!$AG$10:$AG$18</c:f>
              <c:numCache>
                <c:formatCode>0</c:formatCode>
                <c:ptCount val="9"/>
                <c:pt idx="0" formatCode="General">
                  <c:v>0</c:v>
                </c:pt>
                <c:pt idx="1">
                  <c:v>4370</c:v>
                </c:pt>
                <c:pt idx="2" formatCode="General">
                  <c:v>6902.0366132723102</c:v>
                </c:pt>
                <c:pt idx="3" formatCode="General">
                  <c:v>1006.582383144776</c:v>
                </c:pt>
                <c:pt idx="4" formatCode="General">
                  <c:v>-1078.4162686017535</c:v>
                </c:pt>
                <c:pt idx="5" formatCode="General">
                  <c:v>-1780.3325820217724</c:v>
                </c:pt>
                <c:pt idx="6" formatCode="General">
                  <c:v>0</c:v>
                </c:pt>
                <c:pt idx="7" formatCode="General">
                  <c:v>0</c:v>
                </c:pt>
                <c:pt idx="8" formatCode="General">
                  <c:v>0</c:v>
                </c:pt>
              </c:numCache>
            </c:numRef>
          </c:xVal>
          <c:yVal>
            <c:numRef>
              <c:f>'shade check'!$AH$10:$AH$18</c:f>
              <c:numCache>
                <c:formatCode>General</c:formatCode>
                <c:ptCount val="9"/>
                <c:pt idx="0">
                  <c:v>0</c:v>
                </c:pt>
                <c:pt idx="1">
                  <c:v>0</c:v>
                </c:pt>
                <c:pt idx="2">
                  <c:v>-3524.8249018991692</c:v>
                </c:pt>
                <c:pt idx="3">
                  <c:v>-7587.9787779505505</c:v>
                </c:pt>
                <c:pt idx="4">
                  <c:v>-4789.2503841589787</c:v>
                </c:pt>
                <c:pt idx="5">
                  <c:v>-2285.7900811074505</c:v>
                </c:pt>
                <c:pt idx="6">
                  <c:v>0</c:v>
                </c:pt>
                <c:pt idx="7">
                  <c:v>0</c:v>
                </c:pt>
                <c:pt idx="8">
                  <c:v>0</c:v>
                </c:pt>
              </c:numCache>
            </c:numRef>
          </c:yVal>
          <c:smooth val="0"/>
          <c:extLst>
            <c:ext xmlns:c16="http://schemas.microsoft.com/office/drawing/2014/chart" uri="{C3380CC4-5D6E-409C-BE32-E72D297353CC}">
              <c16:uniqueId val="{00000000-2DF1-4021-992A-7EB4C3278E50}"/>
            </c:ext>
          </c:extLst>
        </c:ser>
        <c:ser>
          <c:idx val="1"/>
          <c:order val="1"/>
          <c:spPr>
            <a:ln w="12700">
              <a:solidFill>
                <a:srgbClr val="008000"/>
              </a:solidFill>
              <a:prstDash val="solid"/>
            </a:ln>
          </c:spPr>
          <c:marker>
            <c:symbol val="circle"/>
            <c:size val="5"/>
            <c:spPr>
              <a:solidFill>
                <a:srgbClr val="008000"/>
              </a:solidFill>
              <a:ln>
                <a:solidFill>
                  <a:srgbClr val="008000"/>
                </a:solidFill>
                <a:prstDash val="solid"/>
              </a:ln>
            </c:spPr>
          </c:marker>
          <c:xVal>
            <c:numRef>
              <c:f>'shade check'!$AM$10:$AM$34</c:f>
              <c:numCache>
                <c:formatCode>General</c:formatCode>
                <c:ptCount val="25"/>
                <c:pt idx="0">
                  <c:v>0</c:v>
                </c:pt>
                <c:pt idx="1">
                  <c:v>0</c:v>
                </c:pt>
                <c:pt idx="2" formatCode="0">
                  <c:v>4370</c:v>
                </c:pt>
                <c:pt idx="3" formatCode="0">
                  <c:v>4370</c:v>
                </c:pt>
                <c:pt idx="4" formatCode="0">
                  <c:v>4370</c:v>
                </c:pt>
                <c:pt idx="5">
                  <c:v>6902.0366132723102</c:v>
                </c:pt>
                <c:pt idx="6">
                  <c:v>6902.0366132723102</c:v>
                </c:pt>
                <c:pt idx="7">
                  <c:v>6902.0366132723102</c:v>
                </c:pt>
                <c:pt idx="8">
                  <c:v>1006.582383144776</c:v>
                </c:pt>
                <c:pt idx="9">
                  <c:v>1006.582383144776</c:v>
                </c:pt>
                <c:pt idx="10">
                  <c:v>1006.582383144776</c:v>
                </c:pt>
                <c:pt idx="11">
                  <c:v>-1078.4162686017535</c:v>
                </c:pt>
                <c:pt idx="12">
                  <c:v>-1078.4162686017535</c:v>
                </c:pt>
                <c:pt idx="13">
                  <c:v>-1078.4162686017535</c:v>
                </c:pt>
                <c:pt idx="14">
                  <c:v>-1780.3325820217724</c:v>
                </c:pt>
                <c:pt idx="15">
                  <c:v>-1780.3325820217724</c:v>
                </c:pt>
                <c:pt idx="16">
                  <c:v>-1780.3325820217724</c:v>
                </c:pt>
                <c:pt idx="17">
                  <c:v>0</c:v>
                </c:pt>
                <c:pt idx="18">
                  <c:v>0</c:v>
                </c:pt>
                <c:pt idx="19">
                  <c:v>0</c:v>
                </c:pt>
                <c:pt idx="20">
                  <c:v>0</c:v>
                </c:pt>
                <c:pt idx="21">
                  <c:v>0</c:v>
                </c:pt>
                <c:pt idx="22">
                  <c:v>0</c:v>
                </c:pt>
                <c:pt idx="23">
                  <c:v>0</c:v>
                </c:pt>
                <c:pt idx="24">
                  <c:v>0</c:v>
                </c:pt>
              </c:numCache>
            </c:numRef>
          </c:xVal>
          <c:yVal>
            <c:numRef>
              <c:f>'shade check'!$AN$10:$AN$34</c:f>
              <c:numCache>
                <c:formatCode>General</c:formatCode>
                <c:ptCount val="25"/>
                <c:pt idx="0">
                  <c:v>0</c:v>
                </c:pt>
                <c:pt idx="1">
                  <c:v>0</c:v>
                </c:pt>
                <c:pt idx="2">
                  <c:v>0</c:v>
                </c:pt>
                <c:pt idx="3">
                  <c:v>0</c:v>
                </c:pt>
                <c:pt idx="4">
                  <c:v>0</c:v>
                </c:pt>
                <c:pt idx="5">
                  <c:v>-3524.8249018991692</c:v>
                </c:pt>
                <c:pt idx="6">
                  <c:v>-3524.8249018991692</c:v>
                </c:pt>
                <c:pt idx="7">
                  <c:v>-3524.8249018991692</c:v>
                </c:pt>
                <c:pt idx="8">
                  <c:v>-7587.9787779505505</c:v>
                </c:pt>
                <c:pt idx="9">
                  <c:v>-7587.9787779505505</c:v>
                </c:pt>
                <c:pt idx="10">
                  <c:v>-7587.9787779505505</c:v>
                </c:pt>
                <c:pt idx="11">
                  <c:v>-4789.2503841589787</c:v>
                </c:pt>
                <c:pt idx="12">
                  <c:v>-4789.2503841589787</c:v>
                </c:pt>
                <c:pt idx="13">
                  <c:v>-4789.2503841589787</c:v>
                </c:pt>
                <c:pt idx="14">
                  <c:v>-2285.7900811074505</c:v>
                </c:pt>
                <c:pt idx="15">
                  <c:v>-2285.7900811074505</c:v>
                </c:pt>
                <c:pt idx="16">
                  <c:v>-2285.7900811074505</c:v>
                </c:pt>
                <c:pt idx="17">
                  <c:v>0</c:v>
                </c:pt>
                <c:pt idx="18">
                  <c:v>0</c:v>
                </c:pt>
                <c:pt idx="19">
                  <c:v>0</c:v>
                </c:pt>
                <c:pt idx="20">
                  <c:v>0</c:v>
                </c:pt>
                <c:pt idx="21">
                  <c:v>0</c:v>
                </c:pt>
                <c:pt idx="22">
                  <c:v>0</c:v>
                </c:pt>
                <c:pt idx="23">
                  <c:v>0</c:v>
                </c:pt>
                <c:pt idx="24">
                  <c:v>0</c:v>
                </c:pt>
              </c:numCache>
            </c:numRef>
          </c:yVal>
          <c:smooth val="0"/>
          <c:extLst>
            <c:ext xmlns:c16="http://schemas.microsoft.com/office/drawing/2014/chart" uri="{C3380CC4-5D6E-409C-BE32-E72D297353CC}">
              <c16:uniqueId val="{00000001-2DF1-4021-992A-7EB4C3278E50}"/>
            </c:ext>
          </c:extLst>
        </c:ser>
        <c:ser>
          <c:idx val="2"/>
          <c:order val="2"/>
          <c:spPr>
            <a:ln w="38100">
              <a:solidFill>
                <a:srgbClr val="0000FF"/>
              </a:solidFill>
              <a:prstDash val="solid"/>
            </a:ln>
          </c:spPr>
          <c:marker>
            <c:symbol val="none"/>
          </c:marker>
          <c:xVal>
            <c:numRef>
              <c:f>'shade check'!$BG$38:$BG$48</c:f>
              <c:numCache>
                <c:formatCode>General</c:formatCode>
                <c:ptCount val="11"/>
                <c:pt idx="0">
                  <c:v>0</c:v>
                </c:pt>
                <c:pt idx="1">
                  <c:v>437</c:v>
                </c:pt>
                <c:pt idx="2">
                  <c:v>874</c:v>
                </c:pt>
                <c:pt idx="3">
                  <c:v>1311</c:v>
                </c:pt>
                <c:pt idx="4">
                  <c:v>1748</c:v>
                </c:pt>
                <c:pt idx="5">
                  <c:v>2185</c:v>
                </c:pt>
                <c:pt idx="6">
                  <c:v>2622</c:v>
                </c:pt>
                <c:pt idx="7">
                  <c:v>3059</c:v>
                </c:pt>
                <c:pt idx="8">
                  <c:v>3496</c:v>
                </c:pt>
                <c:pt idx="9">
                  <c:v>3933</c:v>
                </c:pt>
                <c:pt idx="10">
                  <c:v>4370</c:v>
                </c:pt>
              </c:numCache>
            </c:numRef>
          </c:xVal>
          <c:yVal>
            <c:numRef>
              <c:f>'shade check'!$BH$38:$BH$48</c:f>
              <c:numCache>
                <c:formatCode>General</c:formatCode>
                <c:ptCount val="11"/>
                <c:pt idx="0">
                  <c:v>0</c:v>
                </c:pt>
                <c:pt idx="1">
                  <c:v>-79.164825848800319</c:v>
                </c:pt>
                <c:pt idx="2">
                  <c:v>-140.34200684714961</c:v>
                </c:pt>
                <c:pt idx="3">
                  <c:v>-183.83167670480179</c:v>
                </c:pt>
                <c:pt idx="4">
                  <c:v>-209.84313880663831</c:v>
                </c:pt>
                <c:pt idx="5">
                  <c:v>-218.5</c:v>
                </c:pt>
                <c:pt idx="6">
                  <c:v>-209.84313880663831</c:v>
                </c:pt>
                <c:pt idx="7">
                  <c:v>-183.83167670480179</c:v>
                </c:pt>
                <c:pt idx="8">
                  <c:v>-140.34200684714961</c:v>
                </c:pt>
                <c:pt idx="9">
                  <c:v>-79.164825848802138</c:v>
                </c:pt>
                <c:pt idx="10">
                  <c:v>0</c:v>
                </c:pt>
              </c:numCache>
            </c:numRef>
          </c:yVal>
          <c:smooth val="0"/>
          <c:extLst>
            <c:ext xmlns:c16="http://schemas.microsoft.com/office/drawing/2014/chart" uri="{C3380CC4-5D6E-409C-BE32-E72D297353CC}">
              <c16:uniqueId val="{00000002-2DF1-4021-992A-7EB4C3278E50}"/>
            </c:ext>
          </c:extLst>
        </c:ser>
        <c:ser>
          <c:idx val="3"/>
          <c:order val="3"/>
          <c:spPr>
            <a:ln w="38100">
              <a:solidFill>
                <a:srgbClr val="0000FF"/>
              </a:solidFill>
              <a:prstDash val="solid"/>
            </a:ln>
          </c:spPr>
          <c:marker>
            <c:symbol val="none"/>
          </c:marker>
          <c:xVal>
            <c:numRef>
              <c:f>'shade check'!$BJ$38:$BJ$48</c:f>
              <c:numCache>
                <c:formatCode>General</c:formatCode>
                <c:ptCount val="11"/>
                <c:pt idx="0">
                  <c:v>4370</c:v>
                </c:pt>
                <c:pt idx="1">
                  <c:v>4536.5375816528212</c:v>
                </c:pt>
                <c:pt idx="2">
                  <c:v>4718.8258653006942</c:v>
                </c:pt>
                <c:pt idx="3">
                  <c:v>4917.7770435315597</c:v>
                </c:pt>
                <c:pt idx="4">
                  <c:v>5134.4690781232202</c:v>
                </c:pt>
                <c:pt idx="5">
                  <c:v>5370.1847691207204</c:v>
                </c:pt>
                <c:pt idx="6">
                  <c:v>5626.4643173117765</c:v>
                </c:pt>
                <c:pt idx="7">
                  <c:v>5905.1774976045726</c:v>
                </c:pt>
                <c:pt idx="8">
                  <c:v>6208.6251601542444</c:v>
                </c:pt>
                <c:pt idx="9">
                  <c:v>6539.6860684426283</c:v>
                </c:pt>
                <c:pt idx="10">
                  <c:v>6902.0366132723093</c:v>
                </c:pt>
              </c:numCache>
            </c:numRef>
          </c:xVal>
          <c:yVal>
            <c:numRef>
              <c:f>'shade check'!$BK$38:$BK$48</c:f>
              <c:numCache>
                <c:formatCode>General</c:formatCode>
                <c:ptCount val="11"/>
                <c:pt idx="0">
                  <c:v>0</c:v>
                </c:pt>
                <c:pt idx="1">
                  <c:v>-352.48249018991692</c:v>
                </c:pt>
                <c:pt idx="2">
                  <c:v>-704.96498037983383</c:v>
                </c:pt>
                <c:pt idx="3">
                  <c:v>-1057.4474705697507</c:v>
                </c:pt>
                <c:pt idx="4">
                  <c:v>-1409.9299607596677</c:v>
                </c:pt>
                <c:pt idx="5">
                  <c:v>-1762.4124509495846</c:v>
                </c:pt>
                <c:pt idx="6">
                  <c:v>-2114.8949411395015</c:v>
                </c:pt>
                <c:pt idx="7">
                  <c:v>-2467.3774313294184</c:v>
                </c:pt>
                <c:pt idx="8">
                  <c:v>-2819.8599215193353</c:v>
                </c:pt>
                <c:pt idx="9">
                  <c:v>-3172.3424117092522</c:v>
                </c:pt>
                <c:pt idx="10">
                  <c:v>-3524.8249018991692</c:v>
                </c:pt>
              </c:numCache>
            </c:numRef>
          </c:yVal>
          <c:smooth val="0"/>
          <c:extLst>
            <c:ext xmlns:c16="http://schemas.microsoft.com/office/drawing/2014/chart" uri="{C3380CC4-5D6E-409C-BE32-E72D297353CC}">
              <c16:uniqueId val="{00000003-2DF1-4021-992A-7EB4C3278E50}"/>
            </c:ext>
          </c:extLst>
        </c:ser>
        <c:ser>
          <c:idx val="4"/>
          <c:order val="4"/>
          <c:spPr>
            <a:ln w="38100">
              <a:solidFill>
                <a:srgbClr val="0000FF"/>
              </a:solidFill>
              <a:prstDash val="solid"/>
            </a:ln>
          </c:spPr>
          <c:marker>
            <c:symbol val="none"/>
          </c:marker>
          <c:xVal>
            <c:numRef>
              <c:f>'shade check'!$BM$38:$BM$48</c:f>
              <c:numCache>
                <c:formatCode>General</c:formatCode>
                <c:ptCount val="11"/>
                <c:pt idx="0">
                  <c:v>6902.0366132723102</c:v>
                </c:pt>
                <c:pt idx="1">
                  <c:v>6312.4911902595568</c:v>
                </c:pt>
                <c:pt idx="2">
                  <c:v>5722.9457672468034</c:v>
                </c:pt>
                <c:pt idx="3">
                  <c:v>5133.40034423405</c:v>
                </c:pt>
                <c:pt idx="4">
                  <c:v>4543.8549212212965</c:v>
                </c:pt>
                <c:pt idx="5">
                  <c:v>3954.3094982085431</c:v>
                </c:pt>
                <c:pt idx="6">
                  <c:v>3364.7640751957897</c:v>
                </c:pt>
                <c:pt idx="7">
                  <c:v>2775.2186521830363</c:v>
                </c:pt>
                <c:pt idx="8">
                  <c:v>2185.6732291702829</c:v>
                </c:pt>
                <c:pt idx="9">
                  <c:v>1596.1278061575294</c:v>
                </c:pt>
                <c:pt idx="10">
                  <c:v>1006.582383144776</c:v>
                </c:pt>
              </c:numCache>
            </c:numRef>
          </c:xVal>
          <c:yVal>
            <c:numRef>
              <c:f>'shade check'!$BN$38:$BN$48</c:f>
              <c:numCache>
                <c:formatCode>General</c:formatCode>
                <c:ptCount val="11"/>
                <c:pt idx="0">
                  <c:v>-3524.8249018991701</c:v>
                </c:pt>
                <c:pt idx="1">
                  <c:v>-3789.4994049459638</c:v>
                </c:pt>
                <c:pt idx="2">
                  <c:v>-4080.1442824866954</c:v>
                </c:pt>
                <c:pt idx="3">
                  <c:v>-4398.1972628200365</c:v>
                </c:pt>
                <c:pt idx="4">
                  <c:v>-4745.3561607988922</c:v>
                </c:pt>
                <c:pt idx="5">
                  <c:v>-5123.6384866964127</c:v>
                </c:pt>
                <c:pt idx="6">
                  <c:v>-5535.4612230184321</c:v>
                </c:pt>
                <c:pt idx="7">
                  <c:v>-5983.7496818640047</c:v>
                </c:pt>
                <c:pt idx="8">
                  <c:v>-6472.0894607271293</c:v>
                </c:pt>
                <c:pt idx="9">
                  <c:v>-7004.9443277543633</c:v>
                </c:pt>
                <c:pt idx="10">
                  <c:v>-7587.978777950555</c:v>
                </c:pt>
              </c:numCache>
            </c:numRef>
          </c:yVal>
          <c:smooth val="0"/>
          <c:extLst>
            <c:ext xmlns:c16="http://schemas.microsoft.com/office/drawing/2014/chart" uri="{C3380CC4-5D6E-409C-BE32-E72D297353CC}">
              <c16:uniqueId val="{00000004-2DF1-4021-992A-7EB4C3278E50}"/>
            </c:ext>
          </c:extLst>
        </c:ser>
        <c:ser>
          <c:idx val="5"/>
          <c:order val="5"/>
          <c:spPr>
            <a:ln w="38100">
              <a:solidFill>
                <a:srgbClr val="0000FF"/>
              </a:solidFill>
              <a:prstDash val="solid"/>
            </a:ln>
          </c:spPr>
          <c:marker>
            <c:symbol val="none"/>
          </c:marker>
          <c:xVal>
            <c:numRef>
              <c:f>'shade check'!$BP$38:$BP$48</c:f>
              <c:numCache>
                <c:formatCode>General</c:formatCode>
                <c:ptCount val="11"/>
                <c:pt idx="0">
                  <c:v>1006.5823831447769</c:v>
                </c:pt>
                <c:pt idx="1">
                  <c:v>868.38833356887972</c:v>
                </c:pt>
                <c:pt idx="2">
                  <c:v>717.51949093107123</c:v>
                </c:pt>
                <c:pt idx="3">
                  <c:v>553.21262794338236</c:v>
                </c:pt>
                <c:pt idx="4">
                  <c:v>374.56503678525132</c:v>
                </c:pt>
                <c:pt idx="5">
                  <c:v>180.50084740367402</c:v>
                </c:pt>
                <c:pt idx="6">
                  <c:v>-30.274508850561688</c:v>
                </c:pt>
                <c:pt idx="7">
                  <c:v>-259.33718930772648</c:v>
                </c:pt>
                <c:pt idx="8">
                  <c:v>-508.63399769558691</c:v>
                </c:pt>
                <c:pt idx="9">
                  <c:v>-780.61228608225247</c:v>
                </c:pt>
                <c:pt idx="10">
                  <c:v>-1078.4162686017517</c:v>
                </c:pt>
              </c:numCache>
            </c:numRef>
          </c:xVal>
          <c:yVal>
            <c:numRef>
              <c:f>'shade check'!$BQ$38:$BQ$48</c:f>
              <c:numCache>
                <c:formatCode>General</c:formatCode>
                <c:ptCount val="11"/>
                <c:pt idx="0">
                  <c:v>-7587.9787779505505</c:v>
                </c:pt>
                <c:pt idx="1">
                  <c:v>-7308.1059385713934</c:v>
                </c:pt>
                <c:pt idx="2">
                  <c:v>-7028.2330991922363</c:v>
                </c:pt>
                <c:pt idx="3">
                  <c:v>-6748.3602598130792</c:v>
                </c:pt>
                <c:pt idx="4">
                  <c:v>-6468.4874204339221</c:v>
                </c:pt>
                <c:pt idx="5">
                  <c:v>-6188.614581054765</c:v>
                </c:pt>
                <c:pt idx="6">
                  <c:v>-5908.741741675608</c:v>
                </c:pt>
                <c:pt idx="7">
                  <c:v>-5628.8689022964509</c:v>
                </c:pt>
                <c:pt idx="8">
                  <c:v>-5348.9960629172938</c:v>
                </c:pt>
                <c:pt idx="9">
                  <c:v>-5069.1232235381367</c:v>
                </c:pt>
                <c:pt idx="10">
                  <c:v>-4789.2503841589796</c:v>
                </c:pt>
              </c:numCache>
            </c:numRef>
          </c:yVal>
          <c:smooth val="0"/>
          <c:extLst>
            <c:ext xmlns:c16="http://schemas.microsoft.com/office/drawing/2014/chart" uri="{C3380CC4-5D6E-409C-BE32-E72D297353CC}">
              <c16:uniqueId val="{00000005-2DF1-4021-992A-7EB4C3278E50}"/>
            </c:ext>
          </c:extLst>
        </c:ser>
        <c:ser>
          <c:idx val="6"/>
          <c:order val="6"/>
          <c:spPr>
            <a:ln w="38100">
              <a:solidFill>
                <a:srgbClr val="0000FF"/>
              </a:solidFill>
              <a:prstDash val="solid"/>
            </a:ln>
          </c:spPr>
          <c:marker>
            <c:symbol val="none"/>
          </c:marker>
          <c:xVal>
            <c:numRef>
              <c:f>'shade check'!$BS$38:$BS$48</c:f>
              <c:numCache>
                <c:formatCode>General</c:formatCode>
                <c:ptCount val="11"/>
                <c:pt idx="0">
                  <c:v>-1078.4162686017526</c:v>
                </c:pt>
                <c:pt idx="1">
                  <c:v>-1101.8095555081827</c:v>
                </c:pt>
                <c:pt idx="2">
                  <c:v>-1134.9359889432053</c:v>
                </c:pt>
                <c:pt idx="3">
                  <c:v>-1177.9455903222461</c:v>
                </c:pt>
                <c:pt idx="4">
                  <c:v>-1231.0377830905245</c:v>
                </c:pt>
                <c:pt idx="5">
                  <c:v>-1294.4662231434631</c:v>
                </c:pt>
                <c:pt idx="6">
                  <c:v>-1368.5452496563412</c:v>
                </c:pt>
                <c:pt idx="7">
                  <c:v>-1453.6583632682241</c:v>
                </c:pt>
                <c:pt idx="8">
                  <c:v>-1550.2693089098211</c:v>
                </c:pt>
                <c:pt idx="9">
                  <c:v>-1658.9365868992354</c:v>
                </c:pt>
                <c:pt idx="10">
                  <c:v>-1780.3325820217715</c:v>
                </c:pt>
              </c:numCache>
            </c:numRef>
          </c:xVal>
          <c:yVal>
            <c:numRef>
              <c:f>'shade check'!$BT$38:$BT$48</c:f>
              <c:numCache>
                <c:formatCode>General</c:formatCode>
                <c:ptCount val="11"/>
                <c:pt idx="0">
                  <c:v>-4789.2503841589787</c:v>
                </c:pt>
                <c:pt idx="1">
                  <c:v>-4538.9043538538263</c:v>
                </c:pt>
                <c:pt idx="2">
                  <c:v>-4288.5583235486738</c:v>
                </c:pt>
                <c:pt idx="3">
                  <c:v>-4038.2122932435209</c:v>
                </c:pt>
                <c:pt idx="4">
                  <c:v>-3787.866262938368</c:v>
                </c:pt>
                <c:pt idx="5">
                  <c:v>-3537.5202326332151</c:v>
                </c:pt>
                <c:pt idx="6">
                  <c:v>-3287.1742023280622</c:v>
                </c:pt>
                <c:pt idx="7">
                  <c:v>-3036.8281720229093</c:v>
                </c:pt>
                <c:pt idx="8">
                  <c:v>-2786.4821417177563</c:v>
                </c:pt>
                <c:pt idx="9">
                  <c:v>-2536.1361114126034</c:v>
                </c:pt>
                <c:pt idx="10">
                  <c:v>-2285.7900811074505</c:v>
                </c:pt>
              </c:numCache>
            </c:numRef>
          </c:yVal>
          <c:smooth val="0"/>
          <c:extLst>
            <c:ext xmlns:c16="http://schemas.microsoft.com/office/drawing/2014/chart" uri="{C3380CC4-5D6E-409C-BE32-E72D297353CC}">
              <c16:uniqueId val="{00000006-2DF1-4021-992A-7EB4C3278E50}"/>
            </c:ext>
          </c:extLst>
        </c:ser>
        <c:ser>
          <c:idx val="7"/>
          <c:order val="7"/>
          <c:spPr>
            <a:ln w="38100">
              <a:solidFill>
                <a:srgbClr val="0000FF"/>
              </a:solidFill>
              <a:prstDash val="solid"/>
            </a:ln>
          </c:spPr>
          <c:marker>
            <c:symbol val="none"/>
          </c:marker>
          <c:xVal>
            <c:numRef>
              <c:f>'shade check'!$BV$38:$BV$48</c:f>
              <c:numCache>
                <c:formatCode>General</c:formatCode>
                <c:ptCount val="11"/>
                <c:pt idx="0">
                  <c:v>-1780.3325820217742</c:v>
                </c:pt>
                <c:pt idx="1">
                  <c:v>-1526.4933223048356</c:v>
                </c:pt>
                <c:pt idx="2">
                  <c:v>-1294.8212497302393</c:v>
                </c:pt>
                <c:pt idx="3">
                  <c:v>-1082.4965052493353</c:v>
                </c:pt>
                <c:pt idx="4">
                  <c:v>-887.34138879882084</c:v>
                </c:pt>
                <c:pt idx="5">
                  <c:v>-707.63433513169639</c:v>
                </c:pt>
                <c:pt idx="6">
                  <c:v>-541.98839432196201</c:v>
                </c:pt>
                <c:pt idx="7">
                  <c:v>-389.26880118753616</c:v>
                </c:pt>
                <c:pt idx="8">
                  <c:v>-248.53527981654588</c:v>
                </c:pt>
                <c:pt idx="9">
                  <c:v>-119.0005798141683</c:v>
                </c:pt>
                <c:pt idx="10">
                  <c:v>0</c:v>
                </c:pt>
              </c:numCache>
            </c:numRef>
          </c:xVal>
          <c:yVal>
            <c:numRef>
              <c:f>'shade check'!$BW$38:$BW$48</c:f>
              <c:numCache>
                <c:formatCode>General</c:formatCode>
                <c:ptCount val="11"/>
                <c:pt idx="0">
                  <c:v>-2285.7900811074505</c:v>
                </c:pt>
                <c:pt idx="1">
                  <c:v>-2057.2110729967053</c:v>
                </c:pt>
                <c:pt idx="2">
                  <c:v>-1828.6320648859603</c:v>
                </c:pt>
                <c:pt idx="3">
                  <c:v>-1600.0530567752153</c:v>
                </c:pt>
                <c:pt idx="4">
                  <c:v>-1371.4740486644703</c:v>
                </c:pt>
                <c:pt idx="5">
                  <c:v>-1142.8950405537253</c:v>
                </c:pt>
                <c:pt idx="6">
                  <c:v>-914.31603244298026</c:v>
                </c:pt>
                <c:pt idx="7">
                  <c:v>-685.73702433223525</c:v>
                </c:pt>
                <c:pt idx="8">
                  <c:v>-457.15801622149019</c:v>
                </c:pt>
                <c:pt idx="9">
                  <c:v>-228.57900811074512</c:v>
                </c:pt>
                <c:pt idx="10">
                  <c:v>0</c:v>
                </c:pt>
              </c:numCache>
            </c:numRef>
          </c:yVal>
          <c:smooth val="0"/>
          <c:extLst>
            <c:ext xmlns:c16="http://schemas.microsoft.com/office/drawing/2014/chart" uri="{C3380CC4-5D6E-409C-BE32-E72D297353CC}">
              <c16:uniqueId val="{00000007-2DF1-4021-992A-7EB4C3278E50}"/>
            </c:ext>
          </c:extLst>
        </c:ser>
        <c:ser>
          <c:idx val="8"/>
          <c:order val="8"/>
          <c:spPr>
            <a:ln w="38100">
              <a:solidFill>
                <a:srgbClr val="0000FF"/>
              </a:solidFill>
              <a:prstDash val="solid"/>
            </a:ln>
          </c:spPr>
          <c:marker>
            <c:symbol val="none"/>
          </c:marker>
          <c:xVal>
            <c:numRef>
              <c:f>'shade check'!$BY$38:$BY$48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xVal>
          <c:yVal>
            <c:numRef>
              <c:f>'shade check'!$BZ$38:$BZ$48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8-2DF1-4021-992A-7EB4C3278E50}"/>
            </c:ext>
          </c:extLst>
        </c:ser>
        <c:ser>
          <c:idx val="9"/>
          <c:order val="9"/>
          <c:spPr>
            <a:ln w="38100">
              <a:solidFill>
                <a:srgbClr val="0000FF"/>
              </a:solidFill>
              <a:prstDash val="solid"/>
            </a:ln>
          </c:spPr>
          <c:marker>
            <c:symbol val="none"/>
          </c:marker>
          <c:xVal>
            <c:numRef>
              <c:f>'shade check'!$CB$38:$CB$48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xVal>
          <c:yVal>
            <c:numRef>
              <c:f>'shade check'!$CC$38:$CC$48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9-2DF1-4021-992A-7EB4C3278E50}"/>
            </c:ext>
          </c:extLst>
        </c:ser>
        <c:ser>
          <c:idx val="10"/>
          <c:order val="10"/>
          <c:spPr>
            <a:ln w="25400">
              <a:solidFill>
                <a:srgbClr val="000000"/>
              </a:solidFill>
              <a:prstDash val="solid"/>
            </a:ln>
          </c:spPr>
          <c:marker>
            <c:symbol val="none"/>
          </c:marker>
          <c:xVal>
            <c:numRef>
              <c:f>'shade check'!$BH$73:$BH$79</c:f>
              <c:numCache>
                <c:formatCode>General</c:formatCode>
                <c:ptCount val="7"/>
                <c:pt idx="0">
                  <c:v>-290.72903705342094</c:v>
                </c:pt>
                <c:pt idx="1">
                  <c:v>-290.72903705342094</c:v>
                </c:pt>
                <c:pt idx="2">
                  <c:v>-90.729037053420939</c:v>
                </c:pt>
                <c:pt idx="3">
                  <c:v>-290.72903705342094</c:v>
                </c:pt>
                <c:pt idx="4">
                  <c:v>-190.72903705342094</c:v>
                </c:pt>
                <c:pt idx="5">
                  <c:v>-90.729037053420939</c:v>
                </c:pt>
                <c:pt idx="6">
                  <c:v>-90.729037053420939</c:v>
                </c:pt>
              </c:numCache>
            </c:numRef>
          </c:xVal>
          <c:yVal>
            <c:numRef>
              <c:f>'shade check'!$BI$73:$BI$79</c:f>
              <c:numCache>
                <c:formatCode>General</c:formatCode>
                <c:ptCount val="7"/>
                <c:pt idx="0">
                  <c:v>61.624362101370082</c:v>
                </c:pt>
                <c:pt idx="1">
                  <c:v>161.62436210137008</c:v>
                </c:pt>
                <c:pt idx="2">
                  <c:v>161.62436210137008</c:v>
                </c:pt>
                <c:pt idx="3">
                  <c:v>161.62436210137008</c:v>
                </c:pt>
                <c:pt idx="4">
                  <c:v>361.62436210137008</c:v>
                </c:pt>
                <c:pt idx="5">
                  <c:v>161.62436210137008</c:v>
                </c:pt>
                <c:pt idx="6">
                  <c:v>61.624362101370082</c:v>
                </c:pt>
              </c:numCache>
            </c:numRef>
          </c:yVal>
          <c:smooth val="0"/>
          <c:extLst>
            <c:ext xmlns:c16="http://schemas.microsoft.com/office/drawing/2014/chart" uri="{C3380CC4-5D6E-409C-BE32-E72D297353CC}">
              <c16:uniqueId val="{0000000A-2DF1-4021-992A-7EB4C3278E50}"/>
            </c:ext>
          </c:extLst>
        </c:ser>
        <c:ser>
          <c:idx val="11"/>
          <c:order val="11"/>
          <c:spPr>
            <a:ln w="25400">
              <a:solidFill>
                <a:srgbClr val="000000"/>
              </a:solidFill>
              <a:prstDash val="solid"/>
            </a:ln>
          </c:spPr>
          <c:marker>
            <c:symbol val="none"/>
          </c:marker>
          <c:xVal>
            <c:numRef>
              <c:f>'shade check'!$BK$73:$BK$88</c:f>
              <c:numCache>
                <c:formatCode>General</c:formatCode>
                <c:ptCount val="16"/>
                <c:pt idx="0">
                  <c:v>4384.0971934242489</c:v>
                </c:pt>
                <c:pt idx="1">
                  <c:v>4434.0971934242489</c:v>
                </c:pt>
                <c:pt idx="2">
                  <c:v>4534.0971934242489</c:v>
                </c:pt>
                <c:pt idx="3">
                  <c:v>4584.0971934242489</c:v>
                </c:pt>
                <c:pt idx="4">
                  <c:v>4584.0971934242489</c:v>
                </c:pt>
                <c:pt idx="5">
                  <c:v>4534.0971934242489</c:v>
                </c:pt>
                <c:pt idx="6">
                  <c:v>4434.0971934242489</c:v>
                </c:pt>
                <c:pt idx="7">
                  <c:v>4534.0971934242489</c:v>
                </c:pt>
                <c:pt idx="8">
                  <c:v>4584.0971934242489</c:v>
                </c:pt>
                <c:pt idx="9">
                  <c:v>4584.0971934242489</c:v>
                </c:pt>
                <c:pt idx="10">
                  <c:v>4534.0971934242489</c:v>
                </c:pt>
                <c:pt idx="11">
                  <c:v>4434.0971934242489</c:v>
                </c:pt>
                <c:pt idx="12">
                  <c:v>4384.0971934242489</c:v>
                </c:pt>
                <c:pt idx="13">
                  <c:v>4434.0971934242489</c:v>
                </c:pt>
                <c:pt idx="14">
                  <c:v>4434.0971934242489</c:v>
                </c:pt>
                <c:pt idx="15">
                  <c:v>4434.0971934242489</c:v>
                </c:pt>
              </c:numCache>
            </c:numRef>
          </c:xVal>
          <c:yVal>
            <c:numRef>
              <c:f>'shade check'!$BL$73:$BL$88</c:f>
              <c:numCache>
                <c:formatCode>General</c:formatCode>
                <c:ptCount val="16"/>
                <c:pt idx="0">
                  <c:v>372.44511784417654</c:v>
                </c:pt>
                <c:pt idx="1">
                  <c:v>372.44511784417654</c:v>
                </c:pt>
                <c:pt idx="2">
                  <c:v>372.44511784417654</c:v>
                </c:pt>
                <c:pt idx="3">
                  <c:v>322.44511784417654</c:v>
                </c:pt>
                <c:pt idx="4">
                  <c:v>272.44511784417654</c:v>
                </c:pt>
                <c:pt idx="5">
                  <c:v>222.44511784417654</c:v>
                </c:pt>
                <c:pt idx="6">
                  <c:v>222.44511784417654</c:v>
                </c:pt>
                <c:pt idx="7">
                  <c:v>222.44511784417654</c:v>
                </c:pt>
                <c:pt idx="8">
                  <c:v>172.44511784417654</c:v>
                </c:pt>
                <c:pt idx="9">
                  <c:v>122.44511784417654</c:v>
                </c:pt>
                <c:pt idx="10">
                  <c:v>72.445117844176536</c:v>
                </c:pt>
                <c:pt idx="11">
                  <c:v>72.445117844176536</c:v>
                </c:pt>
                <c:pt idx="12">
                  <c:v>72.445117844176536</c:v>
                </c:pt>
                <c:pt idx="13">
                  <c:v>72.445117844176536</c:v>
                </c:pt>
                <c:pt idx="14">
                  <c:v>222.44511784417654</c:v>
                </c:pt>
                <c:pt idx="15">
                  <c:v>372.44511784417654</c:v>
                </c:pt>
              </c:numCache>
            </c:numRef>
          </c:yVal>
          <c:smooth val="0"/>
          <c:extLst>
            <c:ext xmlns:c16="http://schemas.microsoft.com/office/drawing/2014/chart" uri="{C3380CC4-5D6E-409C-BE32-E72D297353CC}">
              <c16:uniqueId val="{0000000B-2DF1-4021-992A-7EB4C3278E50}"/>
            </c:ext>
          </c:extLst>
        </c:ser>
        <c:ser>
          <c:idx val="12"/>
          <c:order val="12"/>
          <c:spPr>
            <a:ln w="25400">
              <a:solidFill>
                <a:srgbClr val="000000"/>
              </a:solidFill>
              <a:prstDash val="solid"/>
            </a:ln>
          </c:spPr>
          <c:marker>
            <c:symbol val="none"/>
          </c:marker>
          <c:xVal>
            <c:numRef>
              <c:f>'shade check'!$BN$73:$BN$80</c:f>
              <c:numCache>
                <c:formatCode>General</c:formatCode>
                <c:ptCount val="8"/>
                <c:pt idx="0">
                  <c:v>7248.3386615823856</c:v>
                </c:pt>
                <c:pt idx="1">
                  <c:v>7198.3386615823856</c:v>
                </c:pt>
                <c:pt idx="2">
                  <c:v>7098.3386615823856</c:v>
                </c:pt>
                <c:pt idx="3">
                  <c:v>7048.3386615823856</c:v>
                </c:pt>
                <c:pt idx="4">
                  <c:v>7048.3386615823856</c:v>
                </c:pt>
                <c:pt idx="5">
                  <c:v>7098.3386615823856</c:v>
                </c:pt>
                <c:pt idx="6">
                  <c:v>7198.3386615823856</c:v>
                </c:pt>
                <c:pt idx="7">
                  <c:v>7248.3386615823856</c:v>
                </c:pt>
              </c:numCache>
            </c:numRef>
          </c:xVal>
          <c:yVal>
            <c:numRef>
              <c:f>'shade check'!$BO$73:$BO$80</c:f>
              <c:numCache>
                <c:formatCode>General</c:formatCode>
                <c:ptCount val="8"/>
                <c:pt idx="0">
                  <c:v>-3667.6653150421507</c:v>
                </c:pt>
                <c:pt idx="1">
                  <c:v>-3717.6653150421507</c:v>
                </c:pt>
                <c:pt idx="2">
                  <c:v>-3717.6653150421507</c:v>
                </c:pt>
                <c:pt idx="3">
                  <c:v>-3667.6653150421507</c:v>
                </c:pt>
                <c:pt idx="4">
                  <c:v>-3467.6653150421507</c:v>
                </c:pt>
                <c:pt idx="5">
                  <c:v>-3417.6653150421507</c:v>
                </c:pt>
                <c:pt idx="6">
                  <c:v>-3417.6653150421507</c:v>
                </c:pt>
                <c:pt idx="7">
                  <c:v>-3467.6653150421507</c:v>
                </c:pt>
              </c:numCache>
            </c:numRef>
          </c:yVal>
          <c:smooth val="0"/>
          <c:extLst>
            <c:ext xmlns:c16="http://schemas.microsoft.com/office/drawing/2014/chart" uri="{C3380CC4-5D6E-409C-BE32-E72D297353CC}">
              <c16:uniqueId val="{0000000C-2DF1-4021-992A-7EB4C3278E50}"/>
            </c:ext>
          </c:extLst>
        </c:ser>
        <c:ser>
          <c:idx val="13"/>
          <c:order val="13"/>
          <c:spPr>
            <a:ln w="25400">
              <a:solidFill>
                <a:srgbClr val="000000"/>
              </a:solidFill>
              <a:prstDash val="solid"/>
            </a:ln>
          </c:spPr>
          <c:marker>
            <c:symbol val="none"/>
          </c:marker>
          <c:xVal>
            <c:numRef>
              <c:f>'shade check'!$BQ$73:$BQ$82</c:f>
              <c:numCache>
                <c:formatCode>General</c:formatCode>
                <c:ptCount val="10"/>
                <c:pt idx="0">
                  <c:v>865.88016094290151</c:v>
                </c:pt>
                <c:pt idx="1">
                  <c:v>915.88016094290151</c:v>
                </c:pt>
                <c:pt idx="2">
                  <c:v>1015.8801609429015</c:v>
                </c:pt>
                <c:pt idx="3">
                  <c:v>1065.8801609429015</c:v>
                </c:pt>
                <c:pt idx="4">
                  <c:v>1065.8801609429015</c:v>
                </c:pt>
                <c:pt idx="5">
                  <c:v>1015.8801609429015</c:v>
                </c:pt>
                <c:pt idx="6">
                  <c:v>915.88016094290151</c:v>
                </c:pt>
                <c:pt idx="7">
                  <c:v>865.88016094290151</c:v>
                </c:pt>
                <c:pt idx="8">
                  <c:v>915.88016094290151</c:v>
                </c:pt>
                <c:pt idx="9">
                  <c:v>915.88016094290151</c:v>
                </c:pt>
              </c:numCache>
            </c:numRef>
          </c:xVal>
          <c:yVal>
            <c:numRef>
              <c:f>'shade check'!$BR$73:$BR$82</c:f>
              <c:numCache>
                <c:formatCode>General</c:formatCode>
                <c:ptCount val="10"/>
                <c:pt idx="0">
                  <c:v>-7684.6431837893933</c:v>
                </c:pt>
                <c:pt idx="1">
                  <c:v>-7684.6431837893933</c:v>
                </c:pt>
                <c:pt idx="2">
                  <c:v>-7684.6431837893933</c:v>
                </c:pt>
                <c:pt idx="3">
                  <c:v>-7734.6431837893933</c:v>
                </c:pt>
                <c:pt idx="4">
                  <c:v>-7934.6431837893933</c:v>
                </c:pt>
                <c:pt idx="5">
                  <c:v>-7984.6431837893933</c:v>
                </c:pt>
                <c:pt idx="6">
                  <c:v>-7984.6431837893933</c:v>
                </c:pt>
                <c:pt idx="7">
                  <c:v>-7984.6431837893933</c:v>
                </c:pt>
                <c:pt idx="8">
                  <c:v>-7984.6431837893933</c:v>
                </c:pt>
                <c:pt idx="9">
                  <c:v>-7684.6431837893933</c:v>
                </c:pt>
              </c:numCache>
            </c:numRef>
          </c:yVal>
          <c:smooth val="0"/>
          <c:extLst>
            <c:ext xmlns:c16="http://schemas.microsoft.com/office/drawing/2014/chart" uri="{C3380CC4-5D6E-409C-BE32-E72D297353CC}">
              <c16:uniqueId val="{0000000D-2DF1-4021-992A-7EB4C3278E50}"/>
            </c:ext>
          </c:extLst>
        </c:ser>
        <c:ser>
          <c:idx val="14"/>
          <c:order val="14"/>
          <c:spPr>
            <a:ln w="25400">
              <a:solidFill>
                <a:srgbClr val="000000"/>
              </a:solidFill>
              <a:prstDash val="solid"/>
            </a:ln>
          </c:spPr>
          <c:marker>
            <c:symbol val="none"/>
          </c:marker>
          <c:xVal>
            <c:numRef>
              <c:f>'shade check'!$BT$73:$BT$79</c:f>
              <c:numCache>
                <c:formatCode>General</c:formatCode>
                <c:ptCount val="7"/>
                <c:pt idx="0">
                  <c:v>-1202.7811645172646</c:v>
                </c:pt>
                <c:pt idx="1">
                  <c:v>-1402.7811645172646</c:v>
                </c:pt>
                <c:pt idx="2">
                  <c:v>-1402.7811645172646</c:v>
                </c:pt>
                <c:pt idx="3">
                  <c:v>-1302.7811645172646</c:v>
                </c:pt>
                <c:pt idx="4">
                  <c:v>-1402.7811645172646</c:v>
                </c:pt>
                <c:pt idx="5">
                  <c:v>-1402.7811645172646</c:v>
                </c:pt>
                <c:pt idx="6">
                  <c:v>-1202.7811645172646</c:v>
                </c:pt>
              </c:numCache>
            </c:numRef>
          </c:xVal>
          <c:yVal>
            <c:numRef>
              <c:f>'shade check'!$BU$73:$BU$79</c:f>
              <c:numCache>
                <c:formatCode>General</c:formatCode>
                <c:ptCount val="7"/>
                <c:pt idx="0">
                  <c:v>-5049.5245582924617</c:v>
                </c:pt>
                <c:pt idx="1">
                  <c:v>-5049.5245582924617</c:v>
                </c:pt>
                <c:pt idx="2">
                  <c:v>-4899.5245582924617</c:v>
                </c:pt>
                <c:pt idx="3">
                  <c:v>-4899.5245582924617</c:v>
                </c:pt>
                <c:pt idx="4">
                  <c:v>-4899.5245582924617</c:v>
                </c:pt>
                <c:pt idx="5">
                  <c:v>-4749.5245582924617</c:v>
                </c:pt>
                <c:pt idx="6">
                  <c:v>-4749.5245582924617</c:v>
                </c:pt>
              </c:numCache>
            </c:numRef>
          </c:yVal>
          <c:smooth val="0"/>
          <c:extLst>
            <c:ext xmlns:c16="http://schemas.microsoft.com/office/drawing/2014/chart" uri="{C3380CC4-5D6E-409C-BE32-E72D297353CC}">
              <c16:uniqueId val="{0000000E-2DF1-4021-992A-7EB4C3278E50}"/>
            </c:ext>
          </c:extLst>
        </c:ser>
        <c:ser>
          <c:idx val="15"/>
          <c:order val="15"/>
          <c:spPr>
            <a:ln w="25400">
              <a:solidFill>
                <a:srgbClr val="000000"/>
              </a:solidFill>
              <a:prstDash val="solid"/>
            </a:ln>
          </c:spPr>
          <c:marker>
            <c:symbol val="none"/>
          </c:marker>
          <c:xVal>
            <c:numRef>
              <c:f>'shade check'!$BW$73:$BW$78</c:f>
              <c:numCache>
                <c:formatCode>General</c:formatCode>
                <c:ptCount val="6"/>
                <c:pt idx="0">
                  <c:v>-2106.8836069573736</c:v>
                </c:pt>
                <c:pt idx="1">
                  <c:v>-2106.8836069573736</c:v>
                </c:pt>
                <c:pt idx="2">
                  <c:v>-2006.8836069573733</c:v>
                </c:pt>
                <c:pt idx="3">
                  <c:v>-2106.8836069573736</c:v>
                </c:pt>
                <c:pt idx="4">
                  <c:v>-2106.8836069573736</c:v>
                </c:pt>
                <c:pt idx="5">
                  <c:v>-1906.8836069573733</c:v>
                </c:pt>
              </c:numCache>
            </c:numRef>
          </c:xVal>
          <c:yVal>
            <c:numRef>
              <c:f>'shade check'!$BX$73:$BX$78</c:f>
              <c:numCache>
                <c:formatCode>General</c:formatCode>
                <c:ptCount val="6"/>
                <c:pt idx="0">
                  <c:v>-2330.0799439368425</c:v>
                </c:pt>
                <c:pt idx="1">
                  <c:v>-2180.0799439368425</c:v>
                </c:pt>
                <c:pt idx="2">
                  <c:v>-2180.0799439368425</c:v>
                </c:pt>
                <c:pt idx="3">
                  <c:v>-2180.0799439368425</c:v>
                </c:pt>
                <c:pt idx="4">
                  <c:v>-2030.0799439368425</c:v>
                </c:pt>
                <c:pt idx="5">
                  <c:v>-2030.0799439368425</c:v>
                </c:pt>
              </c:numCache>
            </c:numRef>
          </c:yVal>
          <c:smooth val="0"/>
          <c:extLst>
            <c:ext xmlns:c16="http://schemas.microsoft.com/office/drawing/2014/chart" uri="{C3380CC4-5D6E-409C-BE32-E72D297353CC}">
              <c16:uniqueId val="{0000000F-2DF1-4021-992A-7EB4C3278E50}"/>
            </c:ext>
          </c:extLst>
        </c:ser>
        <c:ser>
          <c:idx val="16"/>
          <c:order val="16"/>
          <c:spPr>
            <a:ln w="25400">
              <a:solidFill>
                <a:srgbClr val="000000"/>
              </a:solidFill>
              <a:prstDash val="solid"/>
            </a:ln>
          </c:spPr>
          <c:marker>
            <c:symbol val="none"/>
          </c:marker>
          <c:xVal>
            <c:numRef>
              <c:f>'shade check'!$BZ$73:$BZ$80</c:f>
              <c:numCache>
                <c:formatCode>General</c:formatCode>
                <c:ptCount val="8"/>
                <c:pt idx="0">
                  <c:v>#N/A</c:v>
                </c:pt>
                <c:pt idx="1">
                  <c:v>#N/A</c:v>
                </c:pt>
                <c:pt idx="2">
                  <c:v>#N/A</c:v>
                </c:pt>
                <c:pt idx="3">
                  <c:v>#N/A</c:v>
                </c:pt>
                <c:pt idx="4">
                  <c:v>#N/A</c:v>
                </c:pt>
                <c:pt idx="5">
                  <c:v>#N/A</c:v>
                </c:pt>
                <c:pt idx="6">
                  <c:v>#N/A</c:v>
                </c:pt>
                <c:pt idx="7">
                  <c:v>#N/A</c:v>
                </c:pt>
              </c:numCache>
            </c:numRef>
          </c:xVal>
          <c:yVal>
            <c:numRef>
              <c:f>'shade check'!$CA$73:$CA$80</c:f>
              <c:numCache>
                <c:formatCode>General</c:formatCode>
                <c:ptCount val="8"/>
                <c:pt idx="0">
                  <c:v>252.91653189109684</c:v>
                </c:pt>
                <c:pt idx="1">
                  <c:v>252.91653189109684</c:v>
                </c:pt>
                <c:pt idx="2">
                  <c:v>202.91653189109684</c:v>
                </c:pt>
                <c:pt idx="3">
                  <c:v>2.9165318910968523</c:v>
                </c:pt>
                <c:pt idx="4">
                  <c:v>-47.083468108903148</c:v>
                </c:pt>
                <c:pt idx="5">
                  <c:v>-47.083468108903148</c:v>
                </c:pt>
                <c:pt idx="6">
                  <c:v>102.91653189109685</c:v>
                </c:pt>
                <c:pt idx="7">
                  <c:v>102.91653189109685</c:v>
                </c:pt>
              </c:numCache>
            </c:numRef>
          </c:yVal>
          <c:smooth val="0"/>
          <c:extLst>
            <c:ext xmlns:c16="http://schemas.microsoft.com/office/drawing/2014/chart" uri="{C3380CC4-5D6E-409C-BE32-E72D297353CC}">
              <c16:uniqueId val="{00000010-2DF1-4021-992A-7EB4C3278E50}"/>
            </c:ext>
          </c:extLst>
        </c:ser>
        <c:ser>
          <c:idx val="17"/>
          <c:order val="17"/>
          <c:spPr>
            <a:ln w="25400">
              <a:solidFill>
                <a:srgbClr val="000000"/>
              </a:solidFill>
              <a:prstDash val="solid"/>
            </a:ln>
          </c:spPr>
          <c:marker>
            <c:symbol val="none"/>
          </c:marker>
          <c:xVal>
            <c:numRef>
              <c:f>'shade check'!$CC$73:$CC$80</c:f>
              <c:numCache>
                <c:formatCode>General</c:formatCode>
                <c:ptCount val="8"/>
                <c:pt idx="0">
                  <c:v>#N/A</c:v>
                </c:pt>
                <c:pt idx="1">
                  <c:v>#N/A</c:v>
                </c:pt>
                <c:pt idx="2">
                  <c:v>#N/A</c:v>
                </c:pt>
                <c:pt idx="3">
                  <c:v>#N/A</c:v>
                </c:pt>
                <c:pt idx="4">
                  <c:v>#N/A</c:v>
                </c:pt>
                <c:pt idx="5">
                  <c:v>#N/A</c:v>
                </c:pt>
                <c:pt idx="6">
                  <c:v>#N/A</c:v>
                </c:pt>
                <c:pt idx="7">
                  <c:v>#N/A</c:v>
                </c:pt>
              </c:numCache>
            </c:numRef>
          </c:xVal>
          <c:yVal>
            <c:numRef>
              <c:f>'shade check'!$CD$73:$CD$80</c:f>
              <c:numCache>
                <c:formatCode>General</c:formatCode>
                <c:ptCount val="8"/>
                <c:pt idx="0">
                  <c:v>47.083468108903233</c:v>
                </c:pt>
                <c:pt idx="1">
                  <c:v>-102.91653189109677</c:v>
                </c:pt>
                <c:pt idx="2">
                  <c:v>-252.91653189109678</c:v>
                </c:pt>
                <c:pt idx="3">
                  <c:v>-102.91653189109677</c:v>
                </c:pt>
                <c:pt idx="4">
                  <c:v>-102.91653189109677</c:v>
                </c:pt>
                <c:pt idx="5">
                  <c:v>47.083468108903233</c:v>
                </c:pt>
                <c:pt idx="6">
                  <c:v>-102.91653189109677</c:v>
                </c:pt>
                <c:pt idx="7">
                  <c:v>-252.91653189109678</c:v>
                </c:pt>
              </c:numCache>
            </c:numRef>
          </c:yVal>
          <c:smooth val="0"/>
          <c:extLst>
            <c:ext xmlns:c16="http://schemas.microsoft.com/office/drawing/2014/chart" uri="{C3380CC4-5D6E-409C-BE32-E72D297353CC}">
              <c16:uniqueId val="{00000011-2DF1-4021-992A-7EB4C3278E50}"/>
            </c:ext>
          </c:extLst>
        </c:ser>
        <c:ser>
          <c:idx val="18"/>
          <c:order val="18"/>
          <c:spPr>
            <a:ln w="25400">
              <a:solidFill>
                <a:srgbClr val="800080"/>
              </a:solidFill>
              <a:prstDash val="solid"/>
            </a:ln>
          </c:spPr>
          <c:marker>
            <c:symbol val="none"/>
          </c:marker>
          <c:xVal>
            <c:numRef>
              <c:f>'shade check'!$BH$94:$BH$98</c:f>
              <c:numCache>
                <c:formatCode>General</c:formatCode>
                <c:ptCount val="5"/>
                <c:pt idx="0">
                  <c:v>#N/A</c:v>
                </c:pt>
                <c:pt idx="1">
                  <c:v>#N/A</c:v>
                </c:pt>
                <c:pt idx="2">
                  <c:v>#N/A</c:v>
                </c:pt>
                <c:pt idx="3">
                  <c:v>#N/A</c:v>
                </c:pt>
                <c:pt idx="4">
                  <c:v>#N/A</c:v>
                </c:pt>
              </c:numCache>
            </c:numRef>
          </c:xVal>
          <c:yVal>
            <c:numRef>
              <c:f>'shade check'!$BI$94:$BI$98</c:f>
              <c:numCache>
                <c:formatCode>General</c:formatCode>
                <c:ptCount val="5"/>
                <c:pt idx="0">
                  <c:v>#N/A</c:v>
                </c:pt>
                <c:pt idx="1">
                  <c:v>#N/A</c:v>
                </c:pt>
                <c:pt idx="2">
                  <c:v>#N/A</c:v>
                </c:pt>
                <c:pt idx="3">
                  <c:v>#N/A</c:v>
                </c:pt>
                <c:pt idx="4">
                  <c:v>#N/A</c:v>
                </c:pt>
              </c:numCache>
            </c:numRef>
          </c:yVal>
          <c:smooth val="0"/>
          <c:extLst>
            <c:ext xmlns:c16="http://schemas.microsoft.com/office/drawing/2014/chart" uri="{C3380CC4-5D6E-409C-BE32-E72D297353CC}">
              <c16:uniqueId val="{00000012-2DF1-4021-992A-7EB4C3278E50}"/>
            </c:ext>
          </c:extLst>
        </c:ser>
        <c:ser>
          <c:idx val="19"/>
          <c:order val="19"/>
          <c:spPr>
            <a:ln w="3175">
              <a:solidFill>
                <a:srgbClr val="000000"/>
              </a:solidFill>
              <a:prstDash val="solid"/>
            </a:ln>
          </c:spPr>
          <c:marker>
            <c:symbol val="none"/>
          </c:marker>
          <c:xVal>
            <c:numRef>
              <c:f>'shade check'!$AF$34:$AF$38</c:f>
              <c:numCache>
                <c:formatCode>General</c:formatCode>
                <c:ptCount val="5"/>
                <c:pt idx="0" formatCode="0">
                  <c:v>-3000</c:v>
                </c:pt>
                <c:pt idx="1">
                  <c:v>8000</c:v>
                </c:pt>
                <c:pt idx="2">
                  <c:v>8000</c:v>
                </c:pt>
                <c:pt idx="3" formatCode="0">
                  <c:v>-3000</c:v>
                </c:pt>
                <c:pt idx="4" formatCode="0">
                  <c:v>-3000</c:v>
                </c:pt>
              </c:numCache>
            </c:numRef>
          </c:xVal>
          <c:yVal>
            <c:numRef>
              <c:f>'shade check'!$AG$34:$AG$38</c:f>
              <c:numCache>
                <c:formatCode>0</c:formatCode>
                <c:ptCount val="5"/>
                <c:pt idx="0">
                  <c:v>1000</c:v>
                </c:pt>
                <c:pt idx="1">
                  <c:v>1000</c:v>
                </c:pt>
                <c:pt idx="2" formatCode="General">
                  <c:v>-8000</c:v>
                </c:pt>
                <c:pt idx="3" formatCode="General">
                  <c:v>-8000</c:v>
                </c:pt>
                <c:pt idx="4">
                  <c:v>1000</c:v>
                </c:pt>
              </c:numCache>
            </c:numRef>
          </c:yVal>
          <c:smooth val="0"/>
          <c:extLst>
            <c:ext xmlns:c16="http://schemas.microsoft.com/office/drawing/2014/chart" uri="{C3380CC4-5D6E-409C-BE32-E72D297353CC}">
              <c16:uniqueId val="{00000013-2DF1-4021-992A-7EB4C3278E50}"/>
            </c:ext>
          </c:extLst>
        </c:ser>
        <c:ser>
          <c:idx val="20"/>
          <c:order val="20"/>
          <c:tx>
            <c:strRef>
              <c:f>'shade check'!$AP$41</c:f>
              <c:strCache>
                <c:ptCount val="1"/>
                <c:pt idx="0">
                  <c:v>Z 16 - CHARCOAL</c:v>
                </c:pt>
              </c:strCache>
            </c:strRef>
          </c:tx>
          <c:spPr>
            <a:ln w="12700">
              <a:solidFill>
                <a:srgbClr val="FF9900"/>
              </a:solidFill>
              <a:prstDash val="solid"/>
            </a:ln>
          </c:spPr>
          <c:marker>
            <c:symbol val="none"/>
          </c:marker>
          <c:xVal>
            <c:numRef>
              <c:f>'shade check'!$AP$42</c:f>
              <c:numCache>
                <c:formatCode>General</c:formatCode>
                <c:ptCount val="1"/>
                <c:pt idx="0">
                  <c:v>1560.8520156252689</c:v>
                </c:pt>
              </c:numCache>
            </c:numRef>
          </c:xVal>
          <c:yVal>
            <c:numRef>
              <c:f>'shade check'!$AQ$42</c:f>
              <c:numCache>
                <c:formatCode>General</c:formatCode>
                <c:ptCount val="1"/>
                <c:pt idx="0">
                  <c:v>-3793.9893889752752</c:v>
                </c:pt>
              </c:numCache>
            </c:numRef>
          </c:yVal>
          <c:smooth val="0"/>
          <c:extLst>
            <c:ext xmlns:c16="http://schemas.microsoft.com/office/drawing/2014/chart" uri="{C3380CC4-5D6E-409C-BE32-E72D297353CC}">
              <c16:uniqueId val="{00000014-2DF1-4021-992A-7EB4C3278E50}"/>
            </c:ext>
          </c:extLst>
        </c:ser>
        <c:dLbls>
          <c:showLegendKey val="0"/>
          <c:showVal val="0"/>
          <c:showCatName val="0"/>
          <c:showSerName val="0"/>
          <c:showPercent val="0"/>
          <c:showBubbleSize val="0"/>
        </c:dLbls>
        <c:axId val="2100430808"/>
        <c:axId val="2100427544"/>
      </c:scatterChart>
      <c:valAx>
        <c:axId val="2100430808"/>
        <c:scaling>
          <c:orientation val="minMax"/>
        </c:scaling>
        <c:delete val="1"/>
        <c:axPos val="b"/>
        <c:majorGridlines>
          <c:spPr>
            <a:ln w="3175">
              <a:solidFill>
                <a:srgbClr val="000000"/>
              </a:solidFill>
              <a:prstDash val="solid"/>
            </a:ln>
          </c:spPr>
        </c:majorGridlines>
        <c:numFmt formatCode="General" sourceLinked="1"/>
        <c:majorTickMark val="out"/>
        <c:minorTickMark val="none"/>
        <c:tickLblPos val="none"/>
        <c:crossAx val="2100427544"/>
        <c:crosses val="autoZero"/>
        <c:crossBetween val="midCat"/>
        <c:majorUnit val="1000"/>
        <c:minorUnit val="500"/>
      </c:valAx>
      <c:valAx>
        <c:axId val="2100427544"/>
        <c:scaling>
          <c:orientation val="minMax"/>
        </c:scaling>
        <c:delete val="1"/>
        <c:axPos val="l"/>
        <c:majorGridlines>
          <c:spPr>
            <a:ln w="3175">
              <a:solidFill>
                <a:srgbClr val="000000"/>
              </a:solidFill>
              <a:prstDash val="solid"/>
            </a:ln>
          </c:spPr>
        </c:majorGridlines>
        <c:numFmt formatCode="General" sourceLinked="1"/>
        <c:majorTickMark val="out"/>
        <c:minorTickMark val="none"/>
        <c:tickLblPos val="none"/>
        <c:crossAx val="2100430808"/>
        <c:crosses val="autoZero"/>
        <c:crossBetween val="midCat"/>
        <c:majorUnit val="1000"/>
        <c:minorUnit val="500"/>
      </c:valAx>
      <c:spPr>
        <a:noFill/>
        <a:ln w="12700">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1180555555555596" footer="0.51180555555555596"/>
    <c:pageSetup paperSize="9" firstPageNumber="0" orientation="landscape" horizontalDpi="0"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AU"/>
              <a:t>Sail - birds eye view</a:t>
            </a:r>
          </a:p>
        </c:rich>
      </c:tx>
      <c:layout>
        <c:manualLayout>
          <c:xMode val="edge"/>
          <c:yMode val="edge"/>
          <c:x val="0.36930860033726998"/>
          <c:y val="2.9059829059829099E-2"/>
        </c:manualLayout>
      </c:layout>
      <c:overlay val="0"/>
      <c:spPr>
        <a:noFill/>
        <a:ln w="25400">
          <a:noFill/>
        </a:ln>
      </c:spPr>
    </c:title>
    <c:autoTitleDeleted val="0"/>
    <c:plotArea>
      <c:layout>
        <c:manualLayout>
          <c:layoutTarget val="inner"/>
          <c:xMode val="edge"/>
          <c:yMode val="edge"/>
          <c:x val="2.5295109612141702E-2"/>
          <c:y val="0.11453010571932699"/>
          <c:w val="0.951096121416526"/>
          <c:h val="0.86153989973941603"/>
        </c:manualLayout>
      </c:layout>
      <c:scatterChart>
        <c:scatterStyle val="lineMarker"/>
        <c:varyColors val="0"/>
        <c:ser>
          <c:idx val="0"/>
          <c:order val="0"/>
          <c:spPr>
            <a:ln w="25400">
              <a:solidFill>
                <a:srgbClr val="FF0000"/>
              </a:solidFill>
              <a:prstDash val="solid"/>
            </a:ln>
          </c:spPr>
          <c:marker>
            <c:symbol val="diamond"/>
            <c:size val="5"/>
            <c:spPr>
              <a:solidFill>
                <a:srgbClr val="FF0000"/>
              </a:solidFill>
              <a:ln>
                <a:solidFill>
                  <a:srgbClr val="FF0000"/>
                </a:solidFill>
                <a:prstDash val="solid"/>
              </a:ln>
            </c:spPr>
          </c:marker>
          <c:xVal>
            <c:numRef>
              <c:f>'shade check'!$AG$10:$AG$18</c:f>
              <c:numCache>
                <c:formatCode>0</c:formatCode>
                <c:ptCount val="9"/>
                <c:pt idx="0" formatCode="General">
                  <c:v>0</c:v>
                </c:pt>
                <c:pt idx="1">
                  <c:v>4370</c:v>
                </c:pt>
                <c:pt idx="2" formatCode="General">
                  <c:v>6902.0366132723102</c:v>
                </c:pt>
                <c:pt idx="3" formatCode="General">
                  <c:v>1006.582383144776</c:v>
                </c:pt>
                <c:pt idx="4" formatCode="General">
                  <c:v>-1078.4162686017535</c:v>
                </c:pt>
                <c:pt idx="5" formatCode="General">
                  <c:v>-1780.3325820217724</c:v>
                </c:pt>
                <c:pt idx="6" formatCode="General">
                  <c:v>0</c:v>
                </c:pt>
                <c:pt idx="7" formatCode="General">
                  <c:v>0</c:v>
                </c:pt>
                <c:pt idx="8" formatCode="General">
                  <c:v>0</c:v>
                </c:pt>
              </c:numCache>
            </c:numRef>
          </c:xVal>
          <c:yVal>
            <c:numRef>
              <c:f>'shade check'!$AH$10:$AH$18</c:f>
              <c:numCache>
                <c:formatCode>General</c:formatCode>
                <c:ptCount val="9"/>
                <c:pt idx="0">
                  <c:v>0</c:v>
                </c:pt>
                <c:pt idx="1">
                  <c:v>0</c:v>
                </c:pt>
                <c:pt idx="2">
                  <c:v>-3524.8249018991692</c:v>
                </c:pt>
                <c:pt idx="3">
                  <c:v>-7587.9787779505505</c:v>
                </c:pt>
                <c:pt idx="4">
                  <c:v>-4789.2503841589787</c:v>
                </c:pt>
                <c:pt idx="5">
                  <c:v>-2285.7900811074505</c:v>
                </c:pt>
                <c:pt idx="6">
                  <c:v>0</c:v>
                </c:pt>
                <c:pt idx="7">
                  <c:v>0</c:v>
                </c:pt>
                <c:pt idx="8">
                  <c:v>0</c:v>
                </c:pt>
              </c:numCache>
            </c:numRef>
          </c:yVal>
          <c:smooth val="0"/>
          <c:extLst>
            <c:ext xmlns:c16="http://schemas.microsoft.com/office/drawing/2014/chart" uri="{C3380CC4-5D6E-409C-BE32-E72D297353CC}">
              <c16:uniqueId val="{00000000-75C5-4A19-BDE7-1A5F3AB9190D}"/>
            </c:ext>
          </c:extLst>
        </c:ser>
        <c:ser>
          <c:idx val="1"/>
          <c:order val="1"/>
          <c:spPr>
            <a:ln w="12700">
              <a:solidFill>
                <a:srgbClr val="008000"/>
              </a:solidFill>
              <a:prstDash val="solid"/>
            </a:ln>
          </c:spPr>
          <c:marker>
            <c:symbol val="circle"/>
            <c:size val="5"/>
            <c:spPr>
              <a:solidFill>
                <a:srgbClr val="008000"/>
              </a:solidFill>
              <a:ln>
                <a:solidFill>
                  <a:srgbClr val="008000"/>
                </a:solidFill>
                <a:prstDash val="solid"/>
              </a:ln>
            </c:spPr>
          </c:marker>
          <c:xVal>
            <c:numRef>
              <c:f>'shade check'!$AM$10:$AM$34</c:f>
              <c:numCache>
                <c:formatCode>General</c:formatCode>
                <c:ptCount val="25"/>
                <c:pt idx="0">
                  <c:v>0</c:v>
                </c:pt>
                <c:pt idx="1">
                  <c:v>0</c:v>
                </c:pt>
                <c:pt idx="2" formatCode="0">
                  <c:v>4370</c:v>
                </c:pt>
                <c:pt idx="3" formatCode="0">
                  <c:v>4370</c:v>
                </c:pt>
                <c:pt idx="4" formatCode="0">
                  <c:v>4370</c:v>
                </c:pt>
                <c:pt idx="5">
                  <c:v>6902.0366132723102</c:v>
                </c:pt>
                <c:pt idx="6">
                  <c:v>6902.0366132723102</c:v>
                </c:pt>
                <c:pt idx="7">
                  <c:v>6902.0366132723102</c:v>
                </c:pt>
                <c:pt idx="8">
                  <c:v>1006.582383144776</c:v>
                </c:pt>
                <c:pt idx="9">
                  <c:v>1006.582383144776</c:v>
                </c:pt>
                <c:pt idx="10">
                  <c:v>1006.582383144776</c:v>
                </c:pt>
                <c:pt idx="11">
                  <c:v>-1078.4162686017535</c:v>
                </c:pt>
                <c:pt idx="12">
                  <c:v>-1078.4162686017535</c:v>
                </c:pt>
                <c:pt idx="13">
                  <c:v>-1078.4162686017535</c:v>
                </c:pt>
                <c:pt idx="14">
                  <c:v>-1780.3325820217724</c:v>
                </c:pt>
                <c:pt idx="15">
                  <c:v>-1780.3325820217724</c:v>
                </c:pt>
                <c:pt idx="16">
                  <c:v>-1780.3325820217724</c:v>
                </c:pt>
                <c:pt idx="17">
                  <c:v>0</c:v>
                </c:pt>
                <c:pt idx="18">
                  <c:v>0</c:v>
                </c:pt>
                <c:pt idx="19">
                  <c:v>0</c:v>
                </c:pt>
                <c:pt idx="20">
                  <c:v>0</c:v>
                </c:pt>
                <c:pt idx="21">
                  <c:v>0</c:v>
                </c:pt>
                <c:pt idx="22">
                  <c:v>0</c:v>
                </c:pt>
                <c:pt idx="23">
                  <c:v>0</c:v>
                </c:pt>
                <c:pt idx="24">
                  <c:v>0</c:v>
                </c:pt>
              </c:numCache>
            </c:numRef>
          </c:xVal>
          <c:yVal>
            <c:numRef>
              <c:f>'shade check'!$AN$10:$AN$34</c:f>
              <c:numCache>
                <c:formatCode>General</c:formatCode>
                <c:ptCount val="25"/>
                <c:pt idx="0">
                  <c:v>0</c:v>
                </c:pt>
                <c:pt idx="1">
                  <c:v>0</c:v>
                </c:pt>
                <c:pt idx="2">
                  <c:v>0</c:v>
                </c:pt>
                <c:pt idx="3">
                  <c:v>0</c:v>
                </c:pt>
                <c:pt idx="4">
                  <c:v>0</c:v>
                </c:pt>
                <c:pt idx="5">
                  <c:v>-3524.8249018991692</c:v>
                </c:pt>
                <c:pt idx="6">
                  <c:v>-3524.8249018991692</c:v>
                </c:pt>
                <c:pt idx="7">
                  <c:v>-3524.8249018991692</c:v>
                </c:pt>
                <c:pt idx="8">
                  <c:v>-7587.9787779505505</c:v>
                </c:pt>
                <c:pt idx="9">
                  <c:v>-7587.9787779505505</c:v>
                </c:pt>
                <c:pt idx="10">
                  <c:v>-7587.9787779505505</c:v>
                </c:pt>
                <c:pt idx="11">
                  <c:v>-4789.2503841589787</c:v>
                </c:pt>
                <c:pt idx="12">
                  <c:v>-4789.2503841589787</c:v>
                </c:pt>
                <c:pt idx="13">
                  <c:v>-4789.2503841589787</c:v>
                </c:pt>
                <c:pt idx="14">
                  <c:v>-2285.7900811074505</c:v>
                </c:pt>
                <c:pt idx="15">
                  <c:v>-2285.7900811074505</c:v>
                </c:pt>
                <c:pt idx="16">
                  <c:v>-2285.7900811074505</c:v>
                </c:pt>
                <c:pt idx="17">
                  <c:v>0</c:v>
                </c:pt>
                <c:pt idx="18">
                  <c:v>0</c:v>
                </c:pt>
                <c:pt idx="19">
                  <c:v>0</c:v>
                </c:pt>
                <c:pt idx="20">
                  <c:v>0</c:v>
                </c:pt>
                <c:pt idx="21">
                  <c:v>0</c:v>
                </c:pt>
                <c:pt idx="22">
                  <c:v>0</c:v>
                </c:pt>
                <c:pt idx="23">
                  <c:v>0</c:v>
                </c:pt>
                <c:pt idx="24">
                  <c:v>0</c:v>
                </c:pt>
              </c:numCache>
            </c:numRef>
          </c:yVal>
          <c:smooth val="0"/>
          <c:extLst>
            <c:ext xmlns:c16="http://schemas.microsoft.com/office/drawing/2014/chart" uri="{C3380CC4-5D6E-409C-BE32-E72D297353CC}">
              <c16:uniqueId val="{00000001-75C5-4A19-BDE7-1A5F3AB9190D}"/>
            </c:ext>
          </c:extLst>
        </c:ser>
        <c:ser>
          <c:idx val="2"/>
          <c:order val="2"/>
          <c:spPr>
            <a:ln w="38100">
              <a:solidFill>
                <a:srgbClr val="0000FF"/>
              </a:solidFill>
              <a:prstDash val="solid"/>
            </a:ln>
          </c:spPr>
          <c:marker>
            <c:symbol val="none"/>
          </c:marker>
          <c:xVal>
            <c:numRef>
              <c:f>'shade check'!$BG$38:$BG$48</c:f>
              <c:numCache>
                <c:formatCode>General</c:formatCode>
                <c:ptCount val="11"/>
                <c:pt idx="0">
                  <c:v>0</c:v>
                </c:pt>
                <c:pt idx="1">
                  <c:v>437</c:v>
                </c:pt>
                <c:pt idx="2">
                  <c:v>874</c:v>
                </c:pt>
                <c:pt idx="3">
                  <c:v>1311</c:v>
                </c:pt>
                <c:pt idx="4">
                  <c:v>1748</c:v>
                </c:pt>
                <c:pt idx="5">
                  <c:v>2185</c:v>
                </c:pt>
                <c:pt idx="6">
                  <c:v>2622</c:v>
                </c:pt>
                <c:pt idx="7">
                  <c:v>3059</c:v>
                </c:pt>
                <c:pt idx="8">
                  <c:v>3496</c:v>
                </c:pt>
                <c:pt idx="9">
                  <c:v>3933</c:v>
                </c:pt>
                <c:pt idx="10">
                  <c:v>4370</c:v>
                </c:pt>
              </c:numCache>
            </c:numRef>
          </c:xVal>
          <c:yVal>
            <c:numRef>
              <c:f>'shade check'!$BH$38:$BH$48</c:f>
              <c:numCache>
                <c:formatCode>General</c:formatCode>
                <c:ptCount val="11"/>
                <c:pt idx="0">
                  <c:v>0</c:v>
                </c:pt>
                <c:pt idx="1">
                  <c:v>-79.164825848800319</c:v>
                </c:pt>
                <c:pt idx="2">
                  <c:v>-140.34200684714961</c:v>
                </c:pt>
                <c:pt idx="3">
                  <c:v>-183.83167670480179</c:v>
                </c:pt>
                <c:pt idx="4">
                  <c:v>-209.84313880663831</c:v>
                </c:pt>
                <c:pt idx="5">
                  <c:v>-218.5</c:v>
                </c:pt>
                <c:pt idx="6">
                  <c:v>-209.84313880663831</c:v>
                </c:pt>
                <c:pt idx="7">
                  <c:v>-183.83167670480179</c:v>
                </c:pt>
                <c:pt idx="8">
                  <c:v>-140.34200684714961</c:v>
                </c:pt>
                <c:pt idx="9">
                  <c:v>-79.164825848802138</c:v>
                </c:pt>
                <c:pt idx="10">
                  <c:v>0</c:v>
                </c:pt>
              </c:numCache>
            </c:numRef>
          </c:yVal>
          <c:smooth val="0"/>
          <c:extLst>
            <c:ext xmlns:c16="http://schemas.microsoft.com/office/drawing/2014/chart" uri="{C3380CC4-5D6E-409C-BE32-E72D297353CC}">
              <c16:uniqueId val="{00000002-75C5-4A19-BDE7-1A5F3AB9190D}"/>
            </c:ext>
          </c:extLst>
        </c:ser>
        <c:ser>
          <c:idx val="3"/>
          <c:order val="3"/>
          <c:spPr>
            <a:ln w="38100">
              <a:solidFill>
                <a:srgbClr val="0000FF"/>
              </a:solidFill>
              <a:prstDash val="solid"/>
            </a:ln>
          </c:spPr>
          <c:marker>
            <c:symbol val="none"/>
          </c:marker>
          <c:xVal>
            <c:numRef>
              <c:f>'shade check'!$BJ$38:$BJ$48</c:f>
              <c:numCache>
                <c:formatCode>General</c:formatCode>
                <c:ptCount val="11"/>
                <c:pt idx="0">
                  <c:v>4370</c:v>
                </c:pt>
                <c:pt idx="1">
                  <c:v>4536.5375816528212</c:v>
                </c:pt>
                <c:pt idx="2">
                  <c:v>4718.8258653006942</c:v>
                </c:pt>
                <c:pt idx="3">
                  <c:v>4917.7770435315597</c:v>
                </c:pt>
                <c:pt idx="4">
                  <c:v>5134.4690781232202</c:v>
                </c:pt>
                <c:pt idx="5">
                  <c:v>5370.1847691207204</c:v>
                </c:pt>
                <c:pt idx="6">
                  <c:v>5626.4643173117765</c:v>
                </c:pt>
                <c:pt idx="7">
                  <c:v>5905.1774976045726</c:v>
                </c:pt>
                <c:pt idx="8">
                  <c:v>6208.6251601542444</c:v>
                </c:pt>
                <c:pt idx="9">
                  <c:v>6539.6860684426283</c:v>
                </c:pt>
                <c:pt idx="10">
                  <c:v>6902.0366132723093</c:v>
                </c:pt>
              </c:numCache>
            </c:numRef>
          </c:xVal>
          <c:yVal>
            <c:numRef>
              <c:f>'shade check'!$BK$38:$BK$48</c:f>
              <c:numCache>
                <c:formatCode>General</c:formatCode>
                <c:ptCount val="11"/>
                <c:pt idx="0">
                  <c:v>0</c:v>
                </c:pt>
                <c:pt idx="1">
                  <c:v>-352.48249018991692</c:v>
                </c:pt>
                <c:pt idx="2">
                  <c:v>-704.96498037983383</c:v>
                </c:pt>
                <c:pt idx="3">
                  <c:v>-1057.4474705697507</c:v>
                </c:pt>
                <c:pt idx="4">
                  <c:v>-1409.9299607596677</c:v>
                </c:pt>
                <c:pt idx="5">
                  <c:v>-1762.4124509495846</c:v>
                </c:pt>
                <c:pt idx="6">
                  <c:v>-2114.8949411395015</c:v>
                </c:pt>
                <c:pt idx="7">
                  <c:v>-2467.3774313294184</c:v>
                </c:pt>
                <c:pt idx="8">
                  <c:v>-2819.8599215193353</c:v>
                </c:pt>
                <c:pt idx="9">
                  <c:v>-3172.3424117092522</c:v>
                </c:pt>
                <c:pt idx="10">
                  <c:v>-3524.8249018991692</c:v>
                </c:pt>
              </c:numCache>
            </c:numRef>
          </c:yVal>
          <c:smooth val="0"/>
          <c:extLst>
            <c:ext xmlns:c16="http://schemas.microsoft.com/office/drawing/2014/chart" uri="{C3380CC4-5D6E-409C-BE32-E72D297353CC}">
              <c16:uniqueId val="{00000003-75C5-4A19-BDE7-1A5F3AB9190D}"/>
            </c:ext>
          </c:extLst>
        </c:ser>
        <c:ser>
          <c:idx val="4"/>
          <c:order val="4"/>
          <c:spPr>
            <a:ln w="38100">
              <a:solidFill>
                <a:srgbClr val="0000FF"/>
              </a:solidFill>
              <a:prstDash val="solid"/>
            </a:ln>
          </c:spPr>
          <c:marker>
            <c:symbol val="none"/>
          </c:marker>
          <c:xVal>
            <c:numRef>
              <c:f>'shade check'!$BM$38:$BM$48</c:f>
              <c:numCache>
                <c:formatCode>General</c:formatCode>
                <c:ptCount val="11"/>
                <c:pt idx="0">
                  <c:v>6902.0366132723102</c:v>
                </c:pt>
                <c:pt idx="1">
                  <c:v>6312.4911902595568</c:v>
                </c:pt>
                <c:pt idx="2">
                  <c:v>5722.9457672468034</c:v>
                </c:pt>
                <c:pt idx="3">
                  <c:v>5133.40034423405</c:v>
                </c:pt>
                <c:pt idx="4">
                  <c:v>4543.8549212212965</c:v>
                </c:pt>
                <c:pt idx="5">
                  <c:v>3954.3094982085431</c:v>
                </c:pt>
                <c:pt idx="6">
                  <c:v>3364.7640751957897</c:v>
                </c:pt>
                <c:pt idx="7">
                  <c:v>2775.2186521830363</c:v>
                </c:pt>
                <c:pt idx="8">
                  <c:v>2185.6732291702829</c:v>
                </c:pt>
                <c:pt idx="9">
                  <c:v>1596.1278061575294</c:v>
                </c:pt>
                <c:pt idx="10">
                  <c:v>1006.582383144776</c:v>
                </c:pt>
              </c:numCache>
            </c:numRef>
          </c:xVal>
          <c:yVal>
            <c:numRef>
              <c:f>'shade check'!$BN$38:$BN$48</c:f>
              <c:numCache>
                <c:formatCode>General</c:formatCode>
                <c:ptCount val="11"/>
                <c:pt idx="0">
                  <c:v>-3524.8249018991701</c:v>
                </c:pt>
                <c:pt idx="1">
                  <c:v>-3789.4994049459638</c:v>
                </c:pt>
                <c:pt idx="2">
                  <c:v>-4080.1442824866954</c:v>
                </c:pt>
                <c:pt idx="3">
                  <c:v>-4398.1972628200365</c:v>
                </c:pt>
                <c:pt idx="4">
                  <c:v>-4745.3561607988922</c:v>
                </c:pt>
                <c:pt idx="5">
                  <c:v>-5123.6384866964127</c:v>
                </c:pt>
                <c:pt idx="6">
                  <c:v>-5535.4612230184321</c:v>
                </c:pt>
                <c:pt idx="7">
                  <c:v>-5983.7496818640047</c:v>
                </c:pt>
                <c:pt idx="8">
                  <c:v>-6472.0894607271293</c:v>
                </c:pt>
                <c:pt idx="9">
                  <c:v>-7004.9443277543633</c:v>
                </c:pt>
                <c:pt idx="10">
                  <c:v>-7587.978777950555</c:v>
                </c:pt>
              </c:numCache>
            </c:numRef>
          </c:yVal>
          <c:smooth val="0"/>
          <c:extLst>
            <c:ext xmlns:c16="http://schemas.microsoft.com/office/drawing/2014/chart" uri="{C3380CC4-5D6E-409C-BE32-E72D297353CC}">
              <c16:uniqueId val="{00000004-75C5-4A19-BDE7-1A5F3AB9190D}"/>
            </c:ext>
          </c:extLst>
        </c:ser>
        <c:ser>
          <c:idx val="5"/>
          <c:order val="5"/>
          <c:spPr>
            <a:ln w="38100">
              <a:solidFill>
                <a:srgbClr val="0000FF"/>
              </a:solidFill>
              <a:prstDash val="solid"/>
            </a:ln>
          </c:spPr>
          <c:marker>
            <c:symbol val="none"/>
          </c:marker>
          <c:xVal>
            <c:numRef>
              <c:f>'shade check'!$BP$38:$BP$48</c:f>
              <c:numCache>
                <c:formatCode>General</c:formatCode>
                <c:ptCount val="11"/>
                <c:pt idx="0">
                  <c:v>1006.5823831447769</c:v>
                </c:pt>
                <c:pt idx="1">
                  <c:v>868.38833356887972</c:v>
                </c:pt>
                <c:pt idx="2">
                  <c:v>717.51949093107123</c:v>
                </c:pt>
                <c:pt idx="3">
                  <c:v>553.21262794338236</c:v>
                </c:pt>
                <c:pt idx="4">
                  <c:v>374.56503678525132</c:v>
                </c:pt>
                <c:pt idx="5">
                  <c:v>180.50084740367402</c:v>
                </c:pt>
                <c:pt idx="6">
                  <c:v>-30.274508850561688</c:v>
                </c:pt>
                <c:pt idx="7">
                  <c:v>-259.33718930772648</c:v>
                </c:pt>
                <c:pt idx="8">
                  <c:v>-508.63399769558691</c:v>
                </c:pt>
                <c:pt idx="9">
                  <c:v>-780.61228608225247</c:v>
                </c:pt>
                <c:pt idx="10">
                  <c:v>-1078.4162686017517</c:v>
                </c:pt>
              </c:numCache>
            </c:numRef>
          </c:xVal>
          <c:yVal>
            <c:numRef>
              <c:f>'shade check'!$BQ$38:$BQ$48</c:f>
              <c:numCache>
                <c:formatCode>General</c:formatCode>
                <c:ptCount val="11"/>
                <c:pt idx="0">
                  <c:v>-7587.9787779505505</c:v>
                </c:pt>
                <c:pt idx="1">
                  <c:v>-7308.1059385713934</c:v>
                </c:pt>
                <c:pt idx="2">
                  <c:v>-7028.2330991922363</c:v>
                </c:pt>
                <c:pt idx="3">
                  <c:v>-6748.3602598130792</c:v>
                </c:pt>
                <c:pt idx="4">
                  <c:v>-6468.4874204339221</c:v>
                </c:pt>
                <c:pt idx="5">
                  <c:v>-6188.614581054765</c:v>
                </c:pt>
                <c:pt idx="6">
                  <c:v>-5908.741741675608</c:v>
                </c:pt>
                <c:pt idx="7">
                  <c:v>-5628.8689022964509</c:v>
                </c:pt>
                <c:pt idx="8">
                  <c:v>-5348.9960629172938</c:v>
                </c:pt>
                <c:pt idx="9">
                  <c:v>-5069.1232235381367</c:v>
                </c:pt>
                <c:pt idx="10">
                  <c:v>-4789.2503841589796</c:v>
                </c:pt>
              </c:numCache>
            </c:numRef>
          </c:yVal>
          <c:smooth val="0"/>
          <c:extLst>
            <c:ext xmlns:c16="http://schemas.microsoft.com/office/drawing/2014/chart" uri="{C3380CC4-5D6E-409C-BE32-E72D297353CC}">
              <c16:uniqueId val="{00000005-75C5-4A19-BDE7-1A5F3AB9190D}"/>
            </c:ext>
          </c:extLst>
        </c:ser>
        <c:ser>
          <c:idx val="6"/>
          <c:order val="6"/>
          <c:spPr>
            <a:ln w="25400">
              <a:solidFill>
                <a:srgbClr val="0000FF"/>
              </a:solidFill>
              <a:prstDash val="solid"/>
            </a:ln>
          </c:spPr>
          <c:marker>
            <c:symbol val="none"/>
          </c:marker>
          <c:xVal>
            <c:numRef>
              <c:f>'shade check'!$BS$38:$BS$48</c:f>
              <c:numCache>
                <c:formatCode>General</c:formatCode>
                <c:ptCount val="11"/>
                <c:pt idx="0">
                  <c:v>-1078.4162686017526</c:v>
                </c:pt>
                <c:pt idx="1">
                  <c:v>-1101.8095555081827</c:v>
                </c:pt>
                <c:pt idx="2">
                  <c:v>-1134.9359889432053</c:v>
                </c:pt>
                <c:pt idx="3">
                  <c:v>-1177.9455903222461</c:v>
                </c:pt>
                <c:pt idx="4">
                  <c:v>-1231.0377830905245</c:v>
                </c:pt>
                <c:pt idx="5">
                  <c:v>-1294.4662231434631</c:v>
                </c:pt>
                <c:pt idx="6">
                  <c:v>-1368.5452496563412</c:v>
                </c:pt>
                <c:pt idx="7">
                  <c:v>-1453.6583632682241</c:v>
                </c:pt>
                <c:pt idx="8">
                  <c:v>-1550.2693089098211</c:v>
                </c:pt>
                <c:pt idx="9">
                  <c:v>-1658.9365868992354</c:v>
                </c:pt>
                <c:pt idx="10">
                  <c:v>-1780.3325820217715</c:v>
                </c:pt>
              </c:numCache>
            </c:numRef>
          </c:xVal>
          <c:yVal>
            <c:numRef>
              <c:f>'shade check'!$BT$38:$BT$48</c:f>
              <c:numCache>
                <c:formatCode>General</c:formatCode>
                <c:ptCount val="11"/>
                <c:pt idx="0">
                  <c:v>-4789.2503841589787</c:v>
                </c:pt>
                <c:pt idx="1">
                  <c:v>-4538.9043538538263</c:v>
                </c:pt>
                <c:pt idx="2">
                  <c:v>-4288.5583235486738</c:v>
                </c:pt>
                <c:pt idx="3">
                  <c:v>-4038.2122932435209</c:v>
                </c:pt>
                <c:pt idx="4">
                  <c:v>-3787.866262938368</c:v>
                </c:pt>
                <c:pt idx="5">
                  <c:v>-3537.5202326332151</c:v>
                </c:pt>
                <c:pt idx="6">
                  <c:v>-3287.1742023280622</c:v>
                </c:pt>
                <c:pt idx="7">
                  <c:v>-3036.8281720229093</c:v>
                </c:pt>
                <c:pt idx="8">
                  <c:v>-2786.4821417177563</c:v>
                </c:pt>
                <c:pt idx="9">
                  <c:v>-2536.1361114126034</c:v>
                </c:pt>
                <c:pt idx="10">
                  <c:v>-2285.7900811074505</c:v>
                </c:pt>
              </c:numCache>
            </c:numRef>
          </c:yVal>
          <c:smooth val="0"/>
          <c:extLst>
            <c:ext xmlns:c16="http://schemas.microsoft.com/office/drawing/2014/chart" uri="{C3380CC4-5D6E-409C-BE32-E72D297353CC}">
              <c16:uniqueId val="{00000006-75C5-4A19-BDE7-1A5F3AB9190D}"/>
            </c:ext>
          </c:extLst>
        </c:ser>
        <c:ser>
          <c:idx val="7"/>
          <c:order val="7"/>
          <c:spPr>
            <a:ln w="25400">
              <a:solidFill>
                <a:srgbClr val="0000FF"/>
              </a:solidFill>
              <a:prstDash val="solid"/>
            </a:ln>
          </c:spPr>
          <c:marker>
            <c:symbol val="none"/>
          </c:marker>
          <c:xVal>
            <c:numRef>
              <c:f>'shade check'!$BV$38:$BV$48</c:f>
              <c:numCache>
                <c:formatCode>General</c:formatCode>
                <c:ptCount val="11"/>
                <c:pt idx="0">
                  <c:v>-1780.3325820217742</c:v>
                </c:pt>
                <c:pt idx="1">
                  <c:v>-1526.4933223048356</c:v>
                </c:pt>
                <c:pt idx="2">
                  <c:v>-1294.8212497302393</c:v>
                </c:pt>
                <c:pt idx="3">
                  <c:v>-1082.4965052493353</c:v>
                </c:pt>
                <c:pt idx="4">
                  <c:v>-887.34138879882084</c:v>
                </c:pt>
                <c:pt idx="5">
                  <c:v>-707.63433513169639</c:v>
                </c:pt>
                <c:pt idx="6">
                  <c:v>-541.98839432196201</c:v>
                </c:pt>
                <c:pt idx="7">
                  <c:v>-389.26880118753616</c:v>
                </c:pt>
                <c:pt idx="8">
                  <c:v>-248.53527981654588</c:v>
                </c:pt>
                <c:pt idx="9">
                  <c:v>-119.0005798141683</c:v>
                </c:pt>
                <c:pt idx="10">
                  <c:v>0</c:v>
                </c:pt>
              </c:numCache>
            </c:numRef>
          </c:xVal>
          <c:yVal>
            <c:numRef>
              <c:f>'shade check'!$BW$38:$BW$48</c:f>
              <c:numCache>
                <c:formatCode>General</c:formatCode>
                <c:ptCount val="11"/>
                <c:pt idx="0">
                  <c:v>-2285.7900811074505</c:v>
                </c:pt>
                <c:pt idx="1">
                  <c:v>-2057.2110729967053</c:v>
                </c:pt>
                <c:pt idx="2">
                  <c:v>-1828.6320648859603</c:v>
                </c:pt>
                <c:pt idx="3">
                  <c:v>-1600.0530567752153</c:v>
                </c:pt>
                <c:pt idx="4">
                  <c:v>-1371.4740486644703</c:v>
                </c:pt>
                <c:pt idx="5">
                  <c:v>-1142.8950405537253</c:v>
                </c:pt>
                <c:pt idx="6">
                  <c:v>-914.31603244298026</c:v>
                </c:pt>
                <c:pt idx="7">
                  <c:v>-685.73702433223525</c:v>
                </c:pt>
                <c:pt idx="8">
                  <c:v>-457.15801622149019</c:v>
                </c:pt>
                <c:pt idx="9">
                  <c:v>-228.57900811074512</c:v>
                </c:pt>
                <c:pt idx="10">
                  <c:v>0</c:v>
                </c:pt>
              </c:numCache>
            </c:numRef>
          </c:yVal>
          <c:smooth val="0"/>
          <c:extLst>
            <c:ext xmlns:c16="http://schemas.microsoft.com/office/drawing/2014/chart" uri="{C3380CC4-5D6E-409C-BE32-E72D297353CC}">
              <c16:uniqueId val="{00000007-75C5-4A19-BDE7-1A5F3AB9190D}"/>
            </c:ext>
          </c:extLst>
        </c:ser>
        <c:ser>
          <c:idx val="8"/>
          <c:order val="8"/>
          <c:spPr>
            <a:ln w="25400">
              <a:solidFill>
                <a:srgbClr val="0000FF"/>
              </a:solidFill>
              <a:prstDash val="solid"/>
            </a:ln>
          </c:spPr>
          <c:marker>
            <c:symbol val="none"/>
          </c:marker>
          <c:xVal>
            <c:numRef>
              <c:f>'shade check'!$BY$38:$BY$48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xVal>
          <c:yVal>
            <c:numRef>
              <c:f>'shade check'!$BZ$38:$BZ$48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8-75C5-4A19-BDE7-1A5F3AB9190D}"/>
            </c:ext>
          </c:extLst>
        </c:ser>
        <c:ser>
          <c:idx val="9"/>
          <c:order val="9"/>
          <c:spPr>
            <a:ln w="25400">
              <a:solidFill>
                <a:srgbClr val="0000FF"/>
              </a:solidFill>
              <a:prstDash val="solid"/>
            </a:ln>
          </c:spPr>
          <c:marker>
            <c:symbol val="none"/>
          </c:marker>
          <c:xVal>
            <c:numRef>
              <c:f>'shade check'!$CB$38:$CB$48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xVal>
          <c:yVal>
            <c:numRef>
              <c:f>'shade check'!$CC$38:$CC$48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9-75C5-4A19-BDE7-1A5F3AB9190D}"/>
            </c:ext>
          </c:extLst>
        </c:ser>
        <c:ser>
          <c:idx val="10"/>
          <c:order val="10"/>
          <c:spPr>
            <a:ln w="25400">
              <a:solidFill>
                <a:srgbClr val="000000"/>
              </a:solidFill>
              <a:prstDash val="solid"/>
            </a:ln>
          </c:spPr>
          <c:marker>
            <c:symbol val="none"/>
          </c:marker>
          <c:xVal>
            <c:numRef>
              <c:f>'shade check'!$BH$73:$BH$79</c:f>
              <c:numCache>
                <c:formatCode>General</c:formatCode>
                <c:ptCount val="7"/>
                <c:pt idx="0">
                  <c:v>-290.72903705342094</c:v>
                </c:pt>
                <c:pt idx="1">
                  <c:v>-290.72903705342094</c:v>
                </c:pt>
                <c:pt idx="2">
                  <c:v>-90.729037053420939</c:v>
                </c:pt>
                <c:pt idx="3">
                  <c:v>-290.72903705342094</c:v>
                </c:pt>
                <c:pt idx="4">
                  <c:v>-190.72903705342094</c:v>
                </c:pt>
                <c:pt idx="5">
                  <c:v>-90.729037053420939</c:v>
                </c:pt>
                <c:pt idx="6">
                  <c:v>-90.729037053420939</c:v>
                </c:pt>
              </c:numCache>
            </c:numRef>
          </c:xVal>
          <c:yVal>
            <c:numRef>
              <c:f>'shade check'!$BI$73:$BI$79</c:f>
              <c:numCache>
                <c:formatCode>General</c:formatCode>
                <c:ptCount val="7"/>
                <c:pt idx="0">
                  <c:v>61.624362101370082</c:v>
                </c:pt>
                <c:pt idx="1">
                  <c:v>161.62436210137008</c:v>
                </c:pt>
                <c:pt idx="2">
                  <c:v>161.62436210137008</c:v>
                </c:pt>
                <c:pt idx="3">
                  <c:v>161.62436210137008</c:v>
                </c:pt>
                <c:pt idx="4">
                  <c:v>361.62436210137008</c:v>
                </c:pt>
                <c:pt idx="5">
                  <c:v>161.62436210137008</c:v>
                </c:pt>
                <c:pt idx="6">
                  <c:v>61.624362101370082</c:v>
                </c:pt>
              </c:numCache>
            </c:numRef>
          </c:yVal>
          <c:smooth val="0"/>
          <c:extLst>
            <c:ext xmlns:c16="http://schemas.microsoft.com/office/drawing/2014/chart" uri="{C3380CC4-5D6E-409C-BE32-E72D297353CC}">
              <c16:uniqueId val="{0000000A-75C5-4A19-BDE7-1A5F3AB9190D}"/>
            </c:ext>
          </c:extLst>
        </c:ser>
        <c:ser>
          <c:idx val="11"/>
          <c:order val="11"/>
          <c:spPr>
            <a:ln w="25400">
              <a:solidFill>
                <a:srgbClr val="000000"/>
              </a:solidFill>
              <a:prstDash val="solid"/>
            </a:ln>
          </c:spPr>
          <c:marker>
            <c:symbol val="none"/>
          </c:marker>
          <c:xVal>
            <c:numRef>
              <c:f>'shade check'!$BK$73:$BK$88</c:f>
              <c:numCache>
                <c:formatCode>General</c:formatCode>
                <c:ptCount val="16"/>
                <c:pt idx="0">
                  <c:v>4384.0971934242489</c:v>
                </c:pt>
                <c:pt idx="1">
                  <c:v>4434.0971934242489</c:v>
                </c:pt>
                <c:pt idx="2">
                  <c:v>4534.0971934242489</c:v>
                </c:pt>
                <c:pt idx="3">
                  <c:v>4584.0971934242489</c:v>
                </c:pt>
                <c:pt idx="4">
                  <c:v>4584.0971934242489</c:v>
                </c:pt>
                <c:pt idx="5">
                  <c:v>4534.0971934242489</c:v>
                </c:pt>
                <c:pt idx="6">
                  <c:v>4434.0971934242489</c:v>
                </c:pt>
                <c:pt idx="7">
                  <c:v>4534.0971934242489</c:v>
                </c:pt>
                <c:pt idx="8">
                  <c:v>4584.0971934242489</c:v>
                </c:pt>
                <c:pt idx="9">
                  <c:v>4584.0971934242489</c:v>
                </c:pt>
                <c:pt idx="10">
                  <c:v>4534.0971934242489</c:v>
                </c:pt>
                <c:pt idx="11">
                  <c:v>4434.0971934242489</c:v>
                </c:pt>
                <c:pt idx="12">
                  <c:v>4384.0971934242489</c:v>
                </c:pt>
                <c:pt idx="13">
                  <c:v>4434.0971934242489</c:v>
                </c:pt>
                <c:pt idx="14">
                  <c:v>4434.0971934242489</c:v>
                </c:pt>
                <c:pt idx="15">
                  <c:v>4434.0971934242489</c:v>
                </c:pt>
              </c:numCache>
            </c:numRef>
          </c:xVal>
          <c:yVal>
            <c:numRef>
              <c:f>'shade check'!$BL$73:$BL$88</c:f>
              <c:numCache>
                <c:formatCode>General</c:formatCode>
                <c:ptCount val="16"/>
                <c:pt idx="0">
                  <c:v>372.44511784417654</c:v>
                </c:pt>
                <c:pt idx="1">
                  <c:v>372.44511784417654</c:v>
                </c:pt>
                <c:pt idx="2">
                  <c:v>372.44511784417654</c:v>
                </c:pt>
                <c:pt idx="3">
                  <c:v>322.44511784417654</c:v>
                </c:pt>
                <c:pt idx="4">
                  <c:v>272.44511784417654</c:v>
                </c:pt>
                <c:pt idx="5">
                  <c:v>222.44511784417654</c:v>
                </c:pt>
                <c:pt idx="6">
                  <c:v>222.44511784417654</c:v>
                </c:pt>
                <c:pt idx="7">
                  <c:v>222.44511784417654</c:v>
                </c:pt>
                <c:pt idx="8">
                  <c:v>172.44511784417654</c:v>
                </c:pt>
                <c:pt idx="9">
                  <c:v>122.44511784417654</c:v>
                </c:pt>
                <c:pt idx="10">
                  <c:v>72.445117844176536</c:v>
                </c:pt>
                <c:pt idx="11">
                  <c:v>72.445117844176536</c:v>
                </c:pt>
                <c:pt idx="12">
                  <c:v>72.445117844176536</c:v>
                </c:pt>
                <c:pt idx="13">
                  <c:v>72.445117844176536</c:v>
                </c:pt>
                <c:pt idx="14">
                  <c:v>222.44511784417654</c:v>
                </c:pt>
                <c:pt idx="15">
                  <c:v>372.44511784417654</c:v>
                </c:pt>
              </c:numCache>
            </c:numRef>
          </c:yVal>
          <c:smooth val="0"/>
          <c:extLst>
            <c:ext xmlns:c16="http://schemas.microsoft.com/office/drawing/2014/chart" uri="{C3380CC4-5D6E-409C-BE32-E72D297353CC}">
              <c16:uniqueId val="{0000000B-75C5-4A19-BDE7-1A5F3AB9190D}"/>
            </c:ext>
          </c:extLst>
        </c:ser>
        <c:ser>
          <c:idx val="12"/>
          <c:order val="12"/>
          <c:spPr>
            <a:ln w="25400">
              <a:solidFill>
                <a:srgbClr val="000000"/>
              </a:solidFill>
              <a:prstDash val="solid"/>
            </a:ln>
          </c:spPr>
          <c:marker>
            <c:symbol val="none"/>
          </c:marker>
          <c:xVal>
            <c:numRef>
              <c:f>'shade check'!$BN$73:$BN$80</c:f>
              <c:numCache>
                <c:formatCode>General</c:formatCode>
                <c:ptCount val="8"/>
                <c:pt idx="0">
                  <c:v>7248.3386615823856</c:v>
                </c:pt>
                <c:pt idx="1">
                  <c:v>7198.3386615823856</c:v>
                </c:pt>
                <c:pt idx="2">
                  <c:v>7098.3386615823856</c:v>
                </c:pt>
                <c:pt idx="3">
                  <c:v>7048.3386615823856</c:v>
                </c:pt>
                <c:pt idx="4">
                  <c:v>7048.3386615823856</c:v>
                </c:pt>
                <c:pt idx="5">
                  <c:v>7098.3386615823856</c:v>
                </c:pt>
                <c:pt idx="6">
                  <c:v>7198.3386615823856</c:v>
                </c:pt>
                <c:pt idx="7">
                  <c:v>7248.3386615823856</c:v>
                </c:pt>
              </c:numCache>
            </c:numRef>
          </c:xVal>
          <c:yVal>
            <c:numRef>
              <c:f>'shade check'!$BO$73:$BO$80</c:f>
              <c:numCache>
                <c:formatCode>General</c:formatCode>
                <c:ptCount val="8"/>
                <c:pt idx="0">
                  <c:v>-3667.6653150421507</c:v>
                </c:pt>
                <c:pt idx="1">
                  <c:v>-3717.6653150421507</c:v>
                </c:pt>
                <c:pt idx="2">
                  <c:v>-3717.6653150421507</c:v>
                </c:pt>
                <c:pt idx="3">
                  <c:v>-3667.6653150421507</c:v>
                </c:pt>
                <c:pt idx="4">
                  <c:v>-3467.6653150421507</c:v>
                </c:pt>
                <c:pt idx="5">
                  <c:v>-3417.6653150421507</c:v>
                </c:pt>
                <c:pt idx="6">
                  <c:v>-3417.6653150421507</c:v>
                </c:pt>
                <c:pt idx="7">
                  <c:v>-3467.6653150421507</c:v>
                </c:pt>
              </c:numCache>
            </c:numRef>
          </c:yVal>
          <c:smooth val="0"/>
          <c:extLst>
            <c:ext xmlns:c16="http://schemas.microsoft.com/office/drawing/2014/chart" uri="{C3380CC4-5D6E-409C-BE32-E72D297353CC}">
              <c16:uniqueId val="{0000000C-75C5-4A19-BDE7-1A5F3AB9190D}"/>
            </c:ext>
          </c:extLst>
        </c:ser>
        <c:ser>
          <c:idx val="13"/>
          <c:order val="13"/>
          <c:spPr>
            <a:ln w="25400">
              <a:solidFill>
                <a:srgbClr val="000000"/>
              </a:solidFill>
              <a:prstDash val="solid"/>
            </a:ln>
          </c:spPr>
          <c:marker>
            <c:symbol val="none"/>
          </c:marker>
          <c:xVal>
            <c:numRef>
              <c:f>'shade check'!$BQ$73:$BQ$82</c:f>
              <c:numCache>
                <c:formatCode>General</c:formatCode>
                <c:ptCount val="10"/>
                <c:pt idx="0">
                  <c:v>865.88016094290151</c:v>
                </c:pt>
                <c:pt idx="1">
                  <c:v>915.88016094290151</c:v>
                </c:pt>
                <c:pt idx="2">
                  <c:v>1015.8801609429015</c:v>
                </c:pt>
                <c:pt idx="3">
                  <c:v>1065.8801609429015</c:v>
                </c:pt>
                <c:pt idx="4">
                  <c:v>1065.8801609429015</c:v>
                </c:pt>
                <c:pt idx="5">
                  <c:v>1015.8801609429015</c:v>
                </c:pt>
                <c:pt idx="6">
                  <c:v>915.88016094290151</c:v>
                </c:pt>
                <c:pt idx="7">
                  <c:v>865.88016094290151</c:v>
                </c:pt>
                <c:pt idx="8">
                  <c:v>915.88016094290151</c:v>
                </c:pt>
                <c:pt idx="9">
                  <c:v>915.88016094290151</c:v>
                </c:pt>
              </c:numCache>
            </c:numRef>
          </c:xVal>
          <c:yVal>
            <c:numRef>
              <c:f>'shade check'!$BR$73:$BR$82</c:f>
              <c:numCache>
                <c:formatCode>General</c:formatCode>
                <c:ptCount val="10"/>
                <c:pt idx="0">
                  <c:v>-7684.6431837893933</c:v>
                </c:pt>
                <c:pt idx="1">
                  <c:v>-7684.6431837893933</c:v>
                </c:pt>
                <c:pt idx="2">
                  <c:v>-7684.6431837893933</c:v>
                </c:pt>
                <c:pt idx="3">
                  <c:v>-7734.6431837893933</c:v>
                </c:pt>
                <c:pt idx="4">
                  <c:v>-7934.6431837893933</c:v>
                </c:pt>
                <c:pt idx="5">
                  <c:v>-7984.6431837893933</c:v>
                </c:pt>
                <c:pt idx="6">
                  <c:v>-7984.6431837893933</c:v>
                </c:pt>
                <c:pt idx="7">
                  <c:v>-7984.6431837893933</c:v>
                </c:pt>
                <c:pt idx="8">
                  <c:v>-7984.6431837893933</c:v>
                </c:pt>
                <c:pt idx="9">
                  <c:v>-7684.6431837893933</c:v>
                </c:pt>
              </c:numCache>
            </c:numRef>
          </c:yVal>
          <c:smooth val="0"/>
          <c:extLst>
            <c:ext xmlns:c16="http://schemas.microsoft.com/office/drawing/2014/chart" uri="{C3380CC4-5D6E-409C-BE32-E72D297353CC}">
              <c16:uniqueId val="{0000000D-75C5-4A19-BDE7-1A5F3AB9190D}"/>
            </c:ext>
          </c:extLst>
        </c:ser>
        <c:ser>
          <c:idx val="14"/>
          <c:order val="14"/>
          <c:spPr>
            <a:ln w="25400">
              <a:solidFill>
                <a:srgbClr val="000000"/>
              </a:solidFill>
              <a:prstDash val="solid"/>
            </a:ln>
          </c:spPr>
          <c:marker>
            <c:symbol val="none"/>
          </c:marker>
          <c:xVal>
            <c:numRef>
              <c:f>'shade check'!$BT$73:$BT$79</c:f>
              <c:numCache>
                <c:formatCode>General</c:formatCode>
                <c:ptCount val="7"/>
                <c:pt idx="0">
                  <c:v>-1202.7811645172646</c:v>
                </c:pt>
                <c:pt idx="1">
                  <c:v>-1402.7811645172646</c:v>
                </c:pt>
                <c:pt idx="2">
                  <c:v>-1402.7811645172646</c:v>
                </c:pt>
                <c:pt idx="3">
                  <c:v>-1302.7811645172646</c:v>
                </c:pt>
                <c:pt idx="4">
                  <c:v>-1402.7811645172646</c:v>
                </c:pt>
                <c:pt idx="5">
                  <c:v>-1402.7811645172646</c:v>
                </c:pt>
                <c:pt idx="6">
                  <c:v>-1202.7811645172646</c:v>
                </c:pt>
              </c:numCache>
            </c:numRef>
          </c:xVal>
          <c:yVal>
            <c:numRef>
              <c:f>'shade check'!$BU$73:$BU$79</c:f>
              <c:numCache>
                <c:formatCode>General</c:formatCode>
                <c:ptCount val="7"/>
                <c:pt idx="0">
                  <c:v>-5049.5245582924617</c:v>
                </c:pt>
                <c:pt idx="1">
                  <c:v>-5049.5245582924617</c:v>
                </c:pt>
                <c:pt idx="2">
                  <c:v>-4899.5245582924617</c:v>
                </c:pt>
                <c:pt idx="3">
                  <c:v>-4899.5245582924617</c:v>
                </c:pt>
                <c:pt idx="4">
                  <c:v>-4899.5245582924617</c:v>
                </c:pt>
                <c:pt idx="5">
                  <c:v>-4749.5245582924617</c:v>
                </c:pt>
                <c:pt idx="6">
                  <c:v>-4749.5245582924617</c:v>
                </c:pt>
              </c:numCache>
            </c:numRef>
          </c:yVal>
          <c:smooth val="0"/>
          <c:extLst>
            <c:ext xmlns:c16="http://schemas.microsoft.com/office/drawing/2014/chart" uri="{C3380CC4-5D6E-409C-BE32-E72D297353CC}">
              <c16:uniqueId val="{0000000E-75C5-4A19-BDE7-1A5F3AB9190D}"/>
            </c:ext>
          </c:extLst>
        </c:ser>
        <c:ser>
          <c:idx val="15"/>
          <c:order val="15"/>
          <c:spPr>
            <a:ln w="25400">
              <a:solidFill>
                <a:srgbClr val="000000"/>
              </a:solidFill>
              <a:prstDash val="solid"/>
            </a:ln>
          </c:spPr>
          <c:marker>
            <c:symbol val="none"/>
          </c:marker>
          <c:xVal>
            <c:numRef>
              <c:f>'shade check'!$BW$73:$BW$78</c:f>
              <c:numCache>
                <c:formatCode>General</c:formatCode>
                <c:ptCount val="6"/>
                <c:pt idx="0">
                  <c:v>-2106.8836069573736</c:v>
                </c:pt>
                <c:pt idx="1">
                  <c:v>-2106.8836069573736</c:v>
                </c:pt>
                <c:pt idx="2">
                  <c:v>-2006.8836069573733</c:v>
                </c:pt>
                <c:pt idx="3">
                  <c:v>-2106.8836069573736</c:v>
                </c:pt>
                <c:pt idx="4">
                  <c:v>-2106.8836069573736</c:v>
                </c:pt>
                <c:pt idx="5">
                  <c:v>-1906.8836069573733</c:v>
                </c:pt>
              </c:numCache>
            </c:numRef>
          </c:xVal>
          <c:yVal>
            <c:numRef>
              <c:f>'shade check'!$BX$73:$BX$78</c:f>
              <c:numCache>
                <c:formatCode>General</c:formatCode>
                <c:ptCount val="6"/>
                <c:pt idx="0">
                  <c:v>-2330.0799439368425</c:v>
                </c:pt>
                <c:pt idx="1">
                  <c:v>-2180.0799439368425</c:v>
                </c:pt>
                <c:pt idx="2">
                  <c:v>-2180.0799439368425</c:v>
                </c:pt>
                <c:pt idx="3">
                  <c:v>-2180.0799439368425</c:v>
                </c:pt>
                <c:pt idx="4">
                  <c:v>-2030.0799439368425</c:v>
                </c:pt>
                <c:pt idx="5">
                  <c:v>-2030.0799439368425</c:v>
                </c:pt>
              </c:numCache>
            </c:numRef>
          </c:yVal>
          <c:smooth val="0"/>
          <c:extLst>
            <c:ext xmlns:c16="http://schemas.microsoft.com/office/drawing/2014/chart" uri="{C3380CC4-5D6E-409C-BE32-E72D297353CC}">
              <c16:uniqueId val="{0000000F-75C5-4A19-BDE7-1A5F3AB9190D}"/>
            </c:ext>
          </c:extLst>
        </c:ser>
        <c:ser>
          <c:idx val="16"/>
          <c:order val="16"/>
          <c:spPr>
            <a:ln w="25400">
              <a:solidFill>
                <a:srgbClr val="000000"/>
              </a:solidFill>
              <a:prstDash val="solid"/>
            </a:ln>
          </c:spPr>
          <c:marker>
            <c:symbol val="none"/>
          </c:marker>
          <c:xVal>
            <c:numRef>
              <c:f>'shade check'!$BZ$73:$BZ$80</c:f>
              <c:numCache>
                <c:formatCode>General</c:formatCode>
                <c:ptCount val="8"/>
                <c:pt idx="0">
                  <c:v>#N/A</c:v>
                </c:pt>
                <c:pt idx="1">
                  <c:v>#N/A</c:v>
                </c:pt>
                <c:pt idx="2">
                  <c:v>#N/A</c:v>
                </c:pt>
                <c:pt idx="3">
                  <c:v>#N/A</c:v>
                </c:pt>
                <c:pt idx="4">
                  <c:v>#N/A</c:v>
                </c:pt>
                <c:pt idx="5">
                  <c:v>#N/A</c:v>
                </c:pt>
                <c:pt idx="6">
                  <c:v>#N/A</c:v>
                </c:pt>
                <c:pt idx="7">
                  <c:v>#N/A</c:v>
                </c:pt>
              </c:numCache>
            </c:numRef>
          </c:xVal>
          <c:yVal>
            <c:numRef>
              <c:f>'shade check'!$CA$73:$CA$80</c:f>
              <c:numCache>
                <c:formatCode>General</c:formatCode>
                <c:ptCount val="8"/>
                <c:pt idx="0">
                  <c:v>252.91653189109684</c:v>
                </c:pt>
                <c:pt idx="1">
                  <c:v>252.91653189109684</c:v>
                </c:pt>
                <c:pt idx="2">
                  <c:v>202.91653189109684</c:v>
                </c:pt>
                <c:pt idx="3">
                  <c:v>2.9165318910968523</c:v>
                </c:pt>
                <c:pt idx="4">
                  <c:v>-47.083468108903148</c:v>
                </c:pt>
                <c:pt idx="5">
                  <c:v>-47.083468108903148</c:v>
                </c:pt>
                <c:pt idx="6">
                  <c:v>102.91653189109685</c:v>
                </c:pt>
                <c:pt idx="7">
                  <c:v>102.91653189109685</c:v>
                </c:pt>
              </c:numCache>
            </c:numRef>
          </c:yVal>
          <c:smooth val="0"/>
          <c:extLst>
            <c:ext xmlns:c16="http://schemas.microsoft.com/office/drawing/2014/chart" uri="{C3380CC4-5D6E-409C-BE32-E72D297353CC}">
              <c16:uniqueId val="{00000010-75C5-4A19-BDE7-1A5F3AB9190D}"/>
            </c:ext>
          </c:extLst>
        </c:ser>
        <c:ser>
          <c:idx val="17"/>
          <c:order val="17"/>
          <c:spPr>
            <a:ln w="25400">
              <a:solidFill>
                <a:srgbClr val="000000"/>
              </a:solidFill>
              <a:prstDash val="solid"/>
            </a:ln>
          </c:spPr>
          <c:marker>
            <c:symbol val="none"/>
          </c:marker>
          <c:xVal>
            <c:numRef>
              <c:f>'shade check'!$CC$73:$CC$80</c:f>
              <c:numCache>
                <c:formatCode>General</c:formatCode>
                <c:ptCount val="8"/>
                <c:pt idx="0">
                  <c:v>#N/A</c:v>
                </c:pt>
                <c:pt idx="1">
                  <c:v>#N/A</c:v>
                </c:pt>
                <c:pt idx="2">
                  <c:v>#N/A</c:v>
                </c:pt>
                <c:pt idx="3">
                  <c:v>#N/A</c:v>
                </c:pt>
                <c:pt idx="4">
                  <c:v>#N/A</c:v>
                </c:pt>
                <c:pt idx="5">
                  <c:v>#N/A</c:v>
                </c:pt>
                <c:pt idx="6">
                  <c:v>#N/A</c:v>
                </c:pt>
                <c:pt idx="7">
                  <c:v>#N/A</c:v>
                </c:pt>
              </c:numCache>
            </c:numRef>
          </c:xVal>
          <c:yVal>
            <c:numRef>
              <c:f>'shade check'!$CD$73:$CD$80</c:f>
              <c:numCache>
                <c:formatCode>General</c:formatCode>
                <c:ptCount val="8"/>
                <c:pt idx="0">
                  <c:v>47.083468108903233</c:v>
                </c:pt>
                <c:pt idx="1">
                  <c:v>-102.91653189109677</c:v>
                </c:pt>
                <c:pt idx="2">
                  <c:v>-252.91653189109678</c:v>
                </c:pt>
                <c:pt idx="3">
                  <c:v>-102.91653189109677</c:v>
                </c:pt>
                <c:pt idx="4">
                  <c:v>-102.91653189109677</c:v>
                </c:pt>
                <c:pt idx="5">
                  <c:v>47.083468108903233</c:v>
                </c:pt>
                <c:pt idx="6">
                  <c:v>-102.91653189109677</c:v>
                </c:pt>
                <c:pt idx="7">
                  <c:v>-252.91653189109678</c:v>
                </c:pt>
              </c:numCache>
            </c:numRef>
          </c:yVal>
          <c:smooth val="0"/>
          <c:extLst>
            <c:ext xmlns:c16="http://schemas.microsoft.com/office/drawing/2014/chart" uri="{C3380CC4-5D6E-409C-BE32-E72D297353CC}">
              <c16:uniqueId val="{00000011-75C5-4A19-BDE7-1A5F3AB9190D}"/>
            </c:ext>
          </c:extLst>
        </c:ser>
        <c:ser>
          <c:idx val="18"/>
          <c:order val="18"/>
          <c:spPr>
            <a:ln w="25400">
              <a:solidFill>
                <a:srgbClr val="800080"/>
              </a:solidFill>
              <a:prstDash val="solid"/>
            </a:ln>
          </c:spPr>
          <c:marker>
            <c:symbol val="none"/>
          </c:marker>
          <c:xVal>
            <c:numRef>
              <c:f>'shade check'!$BH$94:$BH$98</c:f>
              <c:numCache>
                <c:formatCode>General</c:formatCode>
                <c:ptCount val="5"/>
                <c:pt idx="0">
                  <c:v>#N/A</c:v>
                </c:pt>
                <c:pt idx="1">
                  <c:v>#N/A</c:v>
                </c:pt>
                <c:pt idx="2">
                  <c:v>#N/A</c:v>
                </c:pt>
                <c:pt idx="3">
                  <c:v>#N/A</c:v>
                </c:pt>
                <c:pt idx="4">
                  <c:v>#N/A</c:v>
                </c:pt>
              </c:numCache>
            </c:numRef>
          </c:xVal>
          <c:yVal>
            <c:numRef>
              <c:f>'shade check'!$BI$94:$BI$98</c:f>
              <c:numCache>
                <c:formatCode>General</c:formatCode>
                <c:ptCount val="5"/>
                <c:pt idx="0">
                  <c:v>#N/A</c:v>
                </c:pt>
                <c:pt idx="1">
                  <c:v>#N/A</c:v>
                </c:pt>
                <c:pt idx="2">
                  <c:v>#N/A</c:v>
                </c:pt>
                <c:pt idx="3">
                  <c:v>#N/A</c:v>
                </c:pt>
                <c:pt idx="4">
                  <c:v>#N/A</c:v>
                </c:pt>
              </c:numCache>
            </c:numRef>
          </c:yVal>
          <c:smooth val="0"/>
          <c:extLst>
            <c:ext xmlns:c16="http://schemas.microsoft.com/office/drawing/2014/chart" uri="{C3380CC4-5D6E-409C-BE32-E72D297353CC}">
              <c16:uniqueId val="{00000012-75C5-4A19-BDE7-1A5F3AB9190D}"/>
            </c:ext>
          </c:extLst>
        </c:ser>
        <c:dLbls>
          <c:showLegendKey val="0"/>
          <c:showVal val="0"/>
          <c:showCatName val="0"/>
          <c:showSerName val="0"/>
          <c:showPercent val="0"/>
          <c:showBubbleSize val="0"/>
        </c:dLbls>
        <c:axId val="2097777624"/>
        <c:axId val="2097780824"/>
      </c:scatterChart>
      <c:valAx>
        <c:axId val="2097777624"/>
        <c:scaling>
          <c:orientation val="minMax"/>
        </c:scaling>
        <c:delete val="1"/>
        <c:axPos val="b"/>
        <c:majorGridlines>
          <c:spPr>
            <a:ln w="3175">
              <a:solidFill>
                <a:srgbClr val="000000"/>
              </a:solidFill>
              <a:prstDash val="solid"/>
            </a:ln>
          </c:spPr>
        </c:majorGridlines>
        <c:numFmt formatCode="General" sourceLinked="1"/>
        <c:majorTickMark val="out"/>
        <c:minorTickMark val="none"/>
        <c:tickLblPos val="none"/>
        <c:crossAx val="2097780824"/>
        <c:crosses val="autoZero"/>
        <c:crossBetween val="midCat"/>
        <c:majorUnit val="1000"/>
        <c:minorUnit val="500"/>
      </c:valAx>
      <c:valAx>
        <c:axId val="2097780824"/>
        <c:scaling>
          <c:orientation val="minMax"/>
        </c:scaling>
        <c:delete val="1"/>
        <c:axPos val="l"/>
        <c:majorGridlines>
          <c:spPr>
            <a:ln w="3175">
              <a:solidFill>
                <a:srgbClr val="000000"/>
              </a:solidFill>
              <a:prstDash val="solid"/>
            </a:ln>
          </c:spPr>
        </c:majorGridlines>
        <c:numFmt formatCode="General" sourceLinked="1"/>
        <c:majorTickMark val="out"/>
        <c:minorTickMark val="none"/>
        <c:tickLblPos val="none"/>
        <c:crossAx val="2097777624"/>
        <c:crosses val="autoZero"/>
        <c:crossBetween val="midCat"/>
        <c:majorUnit val="1000"/>
        <c:minorUnit val="500"/>
      </c:valAx>
      <c:spPr>
        <a:noFill/>
        <a:ln w="12700">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1180555555555596" footer="0.51180555555555596"/>
    <c:pageSetup firstPageNumber="0"/>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92075</xdr:colOff>
      <xdr:row>30</xdr:row>
      <xdr:rowOff>50800</xdr:rowOff>
    </xdr:from>
    <xdr:to>
      <xdr:col>15</xdr:col>
      <xdr:colOff>663575</xdr:colOff>
      <xdr:row>56</xdr:row>
      <xdr:rowOff>76200</xdr:rowOff>
    </xdr:to>
    <xdr:graphicFrame macro="">
      <xdr:nvGraphicFramePr>
        <xdr:cNvPr id="3104" name="Chart 1">
          <a:extLst>
            <a:ext uri="{FF2B5EF4-FFF2-40B4-BE49-F238E27FC236}">
              <a16:creationId xmlns:a16="http://schemas.microsoft.com/office/drawing/2014/main" id="{00000000-0008-0000-0200-000020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209550</xdr:colOff>
      <xdr:row>62</xdr:row>
      <xdr:rowOff>38100</xdr:rowOff>
    </xdr:from>
    <xdr:to>
      <xdr:col>11</xdr:col>
      <xdr:colOff>227965</xdr:colOff>
      <xdr:row>64</xdr:row>
      <xdr:rowOff>527050</xdr:rowOff>
    </xdr:to>
    <xdr:pic>
      <xdr:nvPicPr>
        <xdr:cNvPr id="3" name="Picture 2">
          <a:extLst>
            <a:ext uri="{FF2B5EF4-FFF2-40B4-BE49-F238E27FC236}">
              <a16:creationId xmlns:a16="http://schemas.microsoft.com/office/drawing/2014/main" id="{6FC9153C-2DE4-4BFC-8F34-0BC98CF18A84}"/>
            </a:ext>
          </a:extLst>
        </xdr:cNvPr>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8261" t="33458" r="40064" b="16753"/>
        <a:stretch/>
      </xdr:blipFill>
      <xdr:spPr bwMode="auto">
        <a:xfrm>
          <a:off x="3562350" y="13315950"/>
          <a:ext cx="1209040" cy="8128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180975</xdr:colOff>
      <xdr:row>26</xdr:row>
      <xdr:rowOff>104775</xdr:rowOff>
    </xdr:from>
    <xdr:to>
      <xdr:col>14</xdr:col>
      <xdr:colOff>180975</xdr:colOff>
      <xdr:row>53</xdr:row>
      <xdr:rowOff>104775</xdr:rowOff>
    </xdr:to>
    <xdr:graphicFrame macro="">
      <xdr:nvGraphicFramePr>
        <xdr:cNvPr id="5152" name="Chart 1">
          <a:extLst>
            <a:ext uri="{FF2B5EF4-FFF2-40B4-BE49-F238E27FC236}">
              <a16:creationId xmlns:a16="http://schemas.microsoft.com/office/drawing/2014/main" id="{00000000-0008-0000-0400-000020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yson@sunsafeshadesails.com.au"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showGridLines="0" zoomScale="150" zoomScaleNormal="150" zoomScalePageLayoutView="150" workbookViewId="0">
      <selection activeCell="AA27" sqref="AA27"/>
    </sheetView>
  </sheetViews>
  <sheetFormatPr defaultColWidth="8.85546875" defaultRowHeight="12.95" customHeight="1" x14ac:dyDescent="0.2"/>
  <cols>
    <col min="3" max="3" width="19" bestFit="1" customWidth="1"/>
    <col min="5" max="7" width="13" customWidth="1"/>
    <col min="8" max="10" width="8.85546875" hidden="1" customWidth="1"/>
    <col min="11" max="12" width="14.28515625" hidden="1" customWidth="1"/>
    <col min="13" max="22" width="0" hidden="1" customWidth="1"/>
  </cols>
  <sheetData>
    <row r="1" spans="1:19" ht="2.1" customHeight="1" thickBot="1" x14ac:dyDescent="0.25">
      <c r="A1" s="1" t="s">
        <v>178</v>
      </c>
      <c r="B1" s="1"/>
      <c r="C1" s="1"/>
      <c r="D1" s="1"/>
      <c r="E1" s="1"/>
      <c r="F1" s="1"/>
      <c r="G1" s="1"/>
      <c r="H1" s="1"/>
      <c r="I1" s="1"/>
      <c r="J1" s="1"/>
      <c r="P1" s="1" t="s">
        <v>387</v>
      </c>
      <c r="R1" s="1" t="s">
        <v>388</v>
      </c>
      <c r="S1" s="1" t="s">
        <v>389</v>
      </c>
    </row>
    <row r="2" spans="1:19" ht="26.1" customHeight="1" thickBot="1" x14ac:dyDescent="0.35">
      <c r="A2" s="1"/>
      <c r="B2" s="231" t="s">
        <v>429</v>
      </c>
      <c r="C2" s="231"/>
      <c r="D2" s="231"/>
      <c r="E2" s="231"/>
      <c r="F2" s="231"/>
      <c r="G2" s="1"/>
      <c r="H2" s="1"/>
      <c r="I2" s="1" t="s">
        <v>379</v>
      </c>
      <c r="J2" s="1"/>
      <c r="P2" s="1"/>
      <c r="Q2" s="1"/>
      <c r="R2" s="1"/>
    </row>
    <row r="3" spans="1:19" ht="12.95" customHeight="1" thickBot="1" x14ac:dyDescent="0.25">
      <c r="A3" s="1"/>
      <c r="B3" s="232" t="s">
        <v>205</v>
      </c>
      <c r="C3" s="232"/>
      <c r="D3" s="232"/>
      <c r="E3" s="232"/>
      <c r="F3" s="232"/>
      <c r="G3" s="1"/>
      <c r="H3" s="1"/>
      <c r="I3" s="1" t="s">
        <v>380</v>
      </c>
      <c r="J3" s="1"/>
      <c r="P3" s="1" t="s">
        <v>390</v>
      </c>
      <c r="Q3" s="1"/>
      <c r="R3" s="1" t="s">
        <v>374</v>
      </c>
      <c r="S3" t="s">
        <v>413</v>
      </c>
    </row>
    <row r="4" spans="1:19" ht="12.95" customHeight="1" x14ac:dyDescent="0.2">
      <c r="A4" s="1"/>
      <c r="B4" s="238" t="s">
        <v>385</v>
      </c>
      <c r="C4" s="239"/>
      <c r="D4" s="240"/>
      <c r="E4" s="241"/>
      <c r="F4" s="242"/>
      <c r="G4" s="1"/>
      <c r="H4" s="1"/>
      <c r="I4" s="1" t="s">
        <v>381</v>
      </c>
      <c r="J4" s="1"/>
      <c r="P4" s="1" t="s">
        <v>391</v>
      </c>
      <c r="Q4" s="1"/>
      <c r="R4" s="1" t="s">
        <v>375</v>
      </c>
      <c r="S4" t="s">
        <v>414</v>
      </c>
    </row>
    <row r="5" spans="1:19" ht="12.95" customHeight="1" x14ac:dyDescent="0.2">
      <c r="A5" s="1"/>
      <c r="B5" s="233" t="s">
        <v>386</v>
      </c>
      <c r="C5" s="234"/>
      <c r="D5" s="235" t="s">
        <v>430</v>
      </c>
      <c r="E5" s="235"/>
      <c r="F5" s="236"/>
      <c r="G5" s="1"/>
      <c r="H5" s="1"/>
      <c r="I5" s="1" t="s">
        <v>382</v>
      </c>
      <c r="J5" s="1"/>
      <c r="K5" s="1"/>
      <c r="L5" s="1"/>
      <c r="M5" s="1"/>
      <c r="P5" s="1" t="s">
        <v>404</v>
      </c>
      <c r="R5" s="1" t="s">
        <v>376</v>
      </c>
      <c r="S5" t="s">
        <v>415</v>
      </c>
    </row>
    <row r="6" spans="1:19" ht="12.95" customHeight="1" thickBot="1" x14ac:dyDescent="0.25">
      <c r="A6" s="1"/>
      <c r="B6" s="149"/>
      <c r="C6" s="150" t="s">
        <v>210</v>
      </c>
      <c r="D6" s="243"/>
      <c r="E6" s="244"/>
      <c r="F6" s="245"/>
      <c r="G6" s="1"/>
      <c r="H6" s="1"/>
      <c r="I6" s="1" t="s">
        <v>383</v>
      </c>
      <c r="J6" s="1"/>
      <c r="K6" s="1"/>
      <c r="L6" s="1"/>
      <c r="M6" s="1"/>
      <c r="P6" s="1" t="s">
        <v>405</v>
      </c>
      <c r="R6" s="1" t="s">
        <v>412</v>
      </c>
      <c r="S6" t="s">
        <v>416</v>
      </c>
    </row>
    <row r="7" spans="1:19" ht="12.95" hidden="1" customHeight="1" x14ac:dyDescent="0.2">
      <c r="A7" s="1"/>
      <c r="B7" s="2" t="s">
        <v>0</v>
      </c>
      <c r="C7" s="121" t="s">
        <v>1</v>
      </c>
      <c r="D7" s="237"/>
      <c r="E7" s="237"/>
      <c r="F7" s="237"/>
      <c r="G7" s="1"/>
      <c r="H7" s="1"/>
      <c r="I7" s="1" t="s">
        <v>384</v>
      </c>
      <c r="J7" s="1"/>
      <c r="K7" s="1"/>
      <c r="L7" s="1"/>
      <c r="M7" s="1"/>
      <c r="P7" s="1" t="s">
        <v>406</v>
      </c>
      <c r="S7" t="s">
        <v>417</v>
      </c>
    </row>
    <row r="8" spans="1:19" ht="12.95" hidden="1" customHeight="1" x14ac:dyDescent="0.2">
      <c r="A8" s="1"/>
      <c r="B8" s="2"/>
      <c r="C8" s="4" t="s">
        <v>3</v>
      </c>
      <c r="D8" s="229"/>
      <c r="E8" s="229"/>
      <c r="F8" s="229"/>
      <c r="G8" s="1"/>
      <c r="H8" s="1"/>
      <c r="I8" s="1"/>
      <c r="J8" s="1"/>
      <c r="K8" s="1"/>
      <c r="L8" s="1"/>
      <c r="M8" s="1"/>
      <c r="P8" s="1" t="s">
        <v>407</v>
      </c>
      <c r="S8" t="s">
        <v>418</v>
      </c>
    </row>
    <row r="9" spans="1:19" ht="12.95" hidden="1" customHeight="1" x14ac:dyDescent="0.2">
      <c r="A9" s="1"/>
      <c r="B9" s="5"/>
      <c r="C9" s="4" t="s">
        <v>4</v>
      </c>
      <c r="D9" s="6" t="s">
        <v>2</v>
      </c>
      <c r="E9" s="4" t="s">
        <v>5</v>
      </c>
      <c r="F9" s="7" t="s">
        <v>2</v>
      </c>
      <c r="G9" s="1"/>
      <c r="H9" s="1"/>
      <c r="I9" s="1"/>
      <c r="J9" s="1"/>
      <c r="K9" s="1"/>
      <c r="L9" s="1"/>
      <c r="M9" s="1"/>
      <c r="P9" s="1" t="s">
        <v>408</v>
      </c>
      <c r="S9" t="s">
        <v>419</v>
      </c>
    </row>
    <row r="10" spans="1:19" ht="12.95" hidden="1" customHeight="1" x14ac:dyDescent="0.2">
      <c r="A10" s="1"/>
      <c r="B10" s="230" t="s">
        <v>6</v>
      </c>
      <c r="C10" s="230"/>
      <c r="D10" s="229" t="s">
        <v>2</v>
      </c>
      <c r="E10" s="229"/>
      <c r="F10" s="229"/>
      <c r="G10" s="1"/>
      <c r="H10" s="1"/>
      <c r="I10" s="1"/>
      <c r="J10" s="1"/>
      <c r="K10" s="1"/>
      <c r="L10" s="1" t="s">
        <v>396</v>
      </c>
      <c r="M10" s="1"/>
      <c r="P10" s="1" t="s">
        <v>409</v>
      </c>
      <c r="S10" t="s">
        <v>420</v>
      </c>
    </row>
    <row r="11" spans="1:19" ht="12.95" hidden="1" customHeight="1" x14ac:dyDescent="0.2">
      <c r="A11" s="1"/>
      <c r="B11" s="8"/>
      <c r="C11" s="9" t="s">
        <v>7</v>
      </c>
      <c r="D11" s="229" t="s">
        <v>2</v>
      </c>
      <c r="E11" s="229"/>
      <c r="F11" s="229"/>
      <c r="G11" s="1"/>
      <c r="H11" s="1"/>
      <c r="I11" s="1"/>
      <c r="J11" s="1"/>
      <c r="K11" s="1" t="s">
        <v>398</v>
      </c>
      <c r="L11" s="1" t="s">
        <v>397</v>
      </c>
      <c r="M11" s="1" t="s">
        <v>399</v>
      </c>
      <c r="N11" s="1" t="s">
        <v>400</v>
      </c>
      <c r="P11" s="1" t="s">
        <v>410</v>
      </c>
      <c r="S11" t="s">
        <v>421</v>
      </c>
    </row>
    <row r="12" spans="1:19" ht="12.95" hidden="1" customHeight="1" x14ac:dyDescent="0.2">
      <c r="A12" s="1"/>
      <c r="B12" s="8"/>
      <c r="C12" s="9" t="s">
        <v>8</v>
      </c>
      <c r="D12" s="227"/>
      <c r="E12" s="227"/>
      <c r="F12" s="227"/>
      <c r="G12" s="1"/>
      <c r="H12" s="1"/>
      <c r="I12" s="1"/>
      <c r="J12" s="1"/>
      <c r="K12" s="1"/>
      <c r="L12" s="1"/>
      <c r="M12" s="1"/>
      <c r="P12" s="1" t="s">
        <v>411</v>
      </c>
      <c r="S12" t="s">
        <v>422</v>
      </c>
    </row>
    <row r="13" spans="1:19" ht="12.95" hidden="1" customHeight="1" x14ac:dyDescent="0.2">
      <c r="A13" s="1"/>
      <c r="B13" s="225" t="s">
        <v>9</v>
      </c>
      <c r="C13" s="225"/>
      <c r="D13" s="227" t="s">
        <v>2</v>
      </c>
      <c r="E13" s="227"/>
      <c r="F13" s="227"/>
      <c r="G13" s="1"/>
      <c r="H13" s="1"/>
      <c r="I13" s="1"/>
      <c r="J13" s="1"/>
      <c r="K13" s="1"/>
      <c r="L13" s="1"/>
      <c r="M13" s="1"/>
    </row>
    <row r="14" spans="1:19" ht="12.95" hidden="1" customHeight="1" x14ac:dyDescent="0.2">
      <c r="A14" s="1"/>
      <c r="B14" s="225" t="s">
        <v>10</v>
      </c>
      <c r="C14" s="225"/>
      <c r="D14" s="227" t="s">
        <v>2</v>
      </c>
      <c r="E14" s="227"/>
      <c r="F14" s="227"/>
      <c r="G14" s="1"/>
      <c r="H14" s="1"/>
      <c r="I14" s="10" t="s">
        <v>364</v>
      </c>
      <c r="J14" s="1"/>
      <c r="K14" s="1">
        <v>80</v>
      </c>
      <c r="L14" s="1">
        <v>400</v>
      </c>
      <c r="M14" s="1">
        <v>150</v>
      </c>
      <c r="N14" s="1">
        <v>150</v>
      </c>
    </row>
    <row r="15" spans="1:19" ht="12.95" hidden="1" customHeight="1" thickBot="1" x14ac:dyDescent="0.25">
      <c r="A15" s="1"/>
      <c r="B15" s="2"/>
      <c r="C15" s="11" t="s">
        <v>12</v>
      </c>
      <c r="D15" s="12">
        <v>1.8</v>
      </c>
      <c r="E15" s="1"/>
      <c r="F15" s="3"/>
      <c r="G15" s="1"/>
      <c r="H15" s="1"/>
      <c r="I15" s="10" t="s">
        <v>367</v>
      </c>
      <c r="J15" s="1"/>
      <c r="K15" s="1">
        <v>100</v>
      </c>
      <c r="L15" s="1">
        <v>500</v>
      </c>
      <c r="M15" s="1">
        <v>175</v>
      </c>
      <c r="N15" s="1">
        <v>200</v>
      </c>
    </row>
    <row r="16" spans="1:19" ht="12.95" customHeight="1" thickBot="1" x14ac:dyDescent="0.25">
      <c r="A16" s="1"/>
      <c r="B16" s="228" t="s">
        <v>14</v>
      </c>
      <c r="C16" s="228"/>
      <c r="D16" s="228"/>
      <c r="E16" s="228"/>
      <c r="F16" s="228"/>
      <c r="G16" s="1"/>
      <c r="H16" s="1"/>
      <c r="I16" s="10" t="s">
        <v>368</v>
      </c>
      <c r="J16" s="1"/>
      <c r="K16" s="1">
        <v>120</v>
      </c>
      <c r="L16" s="1">
        <v>600</v>
      </c>
      <c r="M16" s="1">
        <v>200</v>
      </c>
      <c r="N16" s="1">
        <v>300</v>
      </c>
    </row>
    <row r="17" spans="1:14" ht="12.95" customHeight="1" x14ac:dyDescent="0.2">
      <c r="A17" s="1"/>
      <c r="B17" s="224" t="s">
        <v>16</v>
      </c>
      <c r="C17" s="224"/>
      <c r="D17" s="224"/>
      <c r="E17" s="1"/>
      <c r="F17" s="3"/>
      <c r="G17" s="1"/>
      <c r="H17" s="1"/>
      <c r="I17" s="10"/>
      <c r="J17" s="1"/>
      <c r="K17" s="1"/>
      <c r="L17" s="1"/>
      <c r="M17" s="1">
        <v>250</v>
      </c>
      <c r="N17" s="1">
        <v>400</v>
      </c>
    </row>
    <row r="18" spans="1:14" ht="12.95" customHeight="1" x14ac:dyDescent="0.2">
      <c r="A18" s="1"/>
      <c r="B18" s="225" t="s">
        <v>393</v>
      </c>
      <c r="C18" s="225"/>
      <c r="D18" s="160">
        <v>150</v>
      </c>
      <c r="E18" s="1"/>
      <c r="F18" s="3"/>
      <c r="G18" s="1"/>
      <c r="H18" s="1"/>
      <c r="I18" s="10"/>
      <c r="J18" s="1"/>
      <c r="K18" s="1"/>
      <c r="L18" s="1"/>
      <c r="M18" s="1"/>
      <c r="N18" s="1">
        <v>500</v>
      </c>
    </row>
    <row r="19" spans="1:14" ht="12.95" customHeight="1" x14ac:dyDescent="0.2">
      <c r="A19" s="1"/>
      <c r="B19" s="226" t="s">
        <v>401</v>
      </c>
      <c r="C19" s="226"/>
      <c r="D19" s="160" t="s">
        <v>404</v>
      </c>
      <c r="E19" s="1"/>
      <c r="F19" s="1"/>
      <c r="G19" s="1"/>
      <c r="H19" s="1"/>
      <c r="I19" s="10"/>
      <c r="J19" s="1"/>
      <c r="K19" s="1"/>
      <c r="L19" s="1"/>
      <c r="M19" s="1"/>
    </row>
    <row r="20" spans="1:14" ht="12.95" customHeight="1" x14ac:dyDescent="0.2">
      <c r="A20" s="1"/>
      <c r="B20" s="226" t="s">
        <v>402</v>
      </c>
      <c r="C20" s="226"/>
      <c r="D20" s="160" t="s">
        <v>375</v>
      </c>
      <c r="E20" s="1"/>
      <c r="F20" s="1"/>
      <c r="G20" s="1"/>
      <c r="H20" s="1"/>
      <c r="I20" s="10"/>
      <c r="J20" s="1"/>
      <c r="K20" s="1"/>
      <c r="L20" s="1"/>
      <c r="M20" s="1"/>
    </row>
    <row r="21" spans="1:14" ht="12.95" customHeight="1" x14ac:dyDescent="0.2">
      <c r="A21" s="1"/>
      <c r="B21" s="226" t="s">
        <v>403</v>
      </c>
      <c r="C21" s="226"/>
      <c r="D21" s="160"/>
      <c r="E21" s="1"/>
      <c r="F21" s="1"/>
      <c r="G21" s="1"/>
      <c r="H21" s="1"/>
      <c r="I21" s="10"/>
      <c r="J21" s="1"/>
      <c r="K21" s="1"/>
      <c r="L21" s="1"/>
      <c r="M21" s="1"/>
    </row>
    <row r="22" spans="1:14" ht="12.95" customHeight="1" x14ac:dyDescent="0.2">
      <c r="A22" s="1"/>
      <c r="B22" s="226" t="s">
        <v>395</v>
      </c>
      <c r="C22" s="226"/>
      <c r="D22" s="160"/>
      <c r="E22" s="1"/>
      <c r="F22" s="1"/>
      <c r="G22" s="1"/>
      <c r="H22" s="1"/>
      <c r="I22" s="10"/>
      <c r="J22" s="1"/>
      <c r="K22" s="1"/>
      <c r="L22" s="1"/>
      <c r="M22" s="1"/>
    </row>
    <row r="23" spans="1:14" ht="12.95" customHeight="1" x14ac:dyDescent="0.2">
      <c r="A23" s="1"/>
      <c r="B23" s="226" t="s">
        <v>394</v>
      </c>
      <c r="C23" s="226"/>
      <c r="D23" s="160">
        <v>400</v>
      </c>
      <c r="E23" s="1"/>
      <c r="H23" s="1" t="s">
        <v>211</v>
      </c>
      <c r="I23" s="3" t="s">
        <v>212</v>
      </c>
      <c r="J23" s="1" t="s">
        <v>213</v>
      </c>
      <c r="K23" s="1"/>
      <c r="L23" s="1"/>
      <c r="M23" s="1"/>
    </row>
    <row r="24" spans="1:14" ht="12.95" customHeight="1" x14ac:dyDescent="0.2">
      <c r="A24" s="1"/>
      <c r="B24" s="226" t="s">
        <v>392</v>
      </c>
      <c r="C24" s="226"/>
      <c r="D24" s="160">
        <v>80</v>
      </c>
      <c r="E24" s="1"/>
      <c r="F24" s="1"/>
      <c r="G24" s="3"/>
      <c r="H24" s="1"/>
      <c r="I24" s="1"/>
      <c r="J24" s="1"/>
      <c r="K24" s="1" t="s">
        <v>206</v>
      </c>
      <c r="L24" s="1" t="s">
        <v>378</v>
      </c>
      <c r="M24" s="1"/>
    </row>
    <row r="25" spans="1:14" ht="12.95" customHeight="1" x14ac:dyDescent="0.2">
      <c r="A25" s="1"/>
      <c r="B25" s="226" t="s">
        <v>363</v>
      </c>
      <c r="C25" s="226"/>
      <c r="D25" s="160" t="s">
        <v>367</v>
      </c>
      <c r="E25" s="1"/>
      <c r="F25" s="3"/>
      <c r="G25" s="1"/>
      <c r="H25" s="1"/>
      <c r="I25" s="1" t="s">
        <v>17</v>
      </c>
      <c r="J25" s="1"/>
      <c r="K25" s="1" t="s">
        <v>2</v>
      </c>
      <c r="L25" s="1"/>
      <c r="M25" s="1"/>
    </row>
    <row r="26" spans="1:14" ht="12.95" customHeight="1" x14ac:dyDescent="0.2">
      <c r="A26" s="1"/>
      <c r="B26" s="250" t="s">
        <v>18</v>
      </c>
      <c r="C26" s="250"/>
      <c r="D26" s="160" t="s">
        <v>23</v>
      </c>
      <c r="E26" s="1"/>
      <c r="F26" s="3"/>
      <c r="G26" s="1"/>
      <c r="H26" s="1"/>
      <c r="I26" s="1" t="s">
        <v>20</v>
      </c>
      <c r="J26" s="1"/>
      <c r="K26" s="1" t="s">
        <v>371</v>
      </c>
      <c r="L26" s="52">
        <v>0.02</v>
      </c>
      <c r="M26" s="1"/>
    </row>
    <row r="27" spans="1:14" ht="12.95" customHeight="1" thickBot="1" x14ac:dyDescent="0.25">
      <c r="A27" s="1"/>
      <c r="B27" s="246" t="s">
        <v>21</v>
      </c>
      <c r="C27" s="247"/>
      <c r="D27" s="172" t="s">
        <v>24</v>
      </c>
      <c r="E27" s="1"/>
      <c r="F27" s="13"/>
      <c r="G27" s="1"/>
      <c r="H27" s="1"/>
      <c r="I27" s="1"/>
      <c r="J27" s="1"/>
      <c r="K27" s="1" t="s">
        <v>372</v>
      </c>
      <c r="L27" s="52">
        <v>0.03</v>
      </c>
      <c r="M27" s="1"/>
    </row>
    <row r="28" spans="1:14" ht="12.95" customHeight="1" thickBot="1" x14ac:dyDescent="0.25">
      <c r="A28" s="1"/>
      <c r="B28" s="248" t="s">
        <v>348</v>
      </c>
      <c r="C28" s="249"/>
      <c r="D28" s="173" t="s">
        <v>347</v>
      </c>
      <c r="E28" s="1"/>
      <c r="F28" s="1"/>
      <c r="G28" s="1"/>
      <c r="H28" s="1"/>
      <c r="I28" s="1" t="s">
        <v>19</v>
      </c>
      <c r="J28" s="1"/>
      <c r="K28" s="1" t="s">
        <v>373</v>
      </c>
      <c r="L28" s="52">
        <v>0.04</v>
      </c>
      <c r="M28" s="1"/>
    </row>
    <row r="29" spans="1:14" ht="12.95" customHeight="1" thickBot="1" x14ac:dyDescent="0.25">
      <c r="A29" s="1"/>
      <c r="B29" s="248" t="s">
        <v>355</v>
      </c>
      <c r="C29" s="249"/>
      <c r="D29" s="173" t="s">
        <v>372</v>
      </c>
      <c r="E29" s="1"/>
      <c r="F29" s="1"/>
      <c r="G29" s="1"/>
      <c r="H29" s="1"/>
      <c r="I29" s="1" t="s">
        <v>23</v>
      </c>
      <c r="J29" s="1"/>
      <c r="K29" s="1" t="s">
        <v>374</v>
      </c>
      <c r="L29" s="52">
        <v>0.05</v>
      </c>
      <c r="M29" s="1"/>
    </row>
    <row r="30" spans="1:14" ht="12.95" customHeight="1" thickBot="1" x14ac:dyDescent="0.25">
      <c r="A30" s="1"/>
      <c r="B30" s="248" t="s">
        <v>36</v>
      </c>
      <c r="C30" s="249"/>
      <c r="D30" s="173" t="s">
        <v>356</v>
      </c>
      <c r="E30" s="1"/>
      <c r="F30" s="1"/>
      <c r="G30" s="1"/>
      <c r="H30" s="1"/>
      <c r="I30" s="1"/>
      <c r="J30" s="1"/>
      <c r="K30" s="1" t="s">
        <v>375</v>
      </c>
      <c r="L30" s="52">
        <v>0.06</v>
      </c>
      <c r="M30" s="1"/>
    </row>
    <row r="31" spans="1:14" ht="12.95" customHeight="1" thickBot="1" x14ac:dyDescent="0.25">
      <c r="A31" s="1"/>
      <c r="B31" s="248" t="s">
        <v>377</v>
      </c>
      <c r="C31" s="249"/>
      <c r="D31" s="161">
        <v>0.05</v>
      </c>
      <c r="E31" s="1"/>
      <c r="F31" s="1"/>
      <c r="G31" s="1"/>
      <c r="H31" s="1"/>
      <c r="I31" s="1" t="s">
        <v>24</v>
      </c>
      <c r="J31" s="1"/>
      <c r="K31" s="1" t="s">
        <v>376</v>
      </c>
      <c r="L31" s="52">
        <v>7.0000000000000007E-2</v>
      </c>
      <c r="M31" s="1"/>
    </row>
    <row r="32" spans="1:14" ht="12.95" customHeight="1" x14ac:dyDescent="0.2">
      <c r="A32" s="1"/>
      <c r="B32" s="1"/>
      <c r="C32" s="1"/>
      <c r="D32" s="1"/>
      <c r="E32" s="1"/>
      <c r="F32" s="1"/>
      <c r="G32" s="1"/>
      <c r="H32" s="1"/>
      <c r="I32" s="1" t="s">
        <v>22</v>
      </c>
      <c r="J32" s="1"/>
      <c r="K32" s="1"/>
      <c r="L32" s="52">
        <v>0.08</v>
      </c>
      <c r="M32" s="1"/>
    </row>
    <row r="33" spans="1:13" ht="12.95" customHeight="1" x14ac:dyDescent="0.2">
      <c r="A33" s="1"/>
      <c r="B33" s="1"/>
      <c r="C33" s="1"/>
      <c r="D33" s="1"/>
      <c r="E33" s="1"/>
      <c r="F33" s="1"/>
      <c r="G33" s="1"/>
      <c r="H33" s="1"/>
      <c r="I33" s="1"/>
      <c r="J33" s="1"/>
      <c r="K33" s="1"/>
      <c r="L33" s="52">
        <v>0.09</v>
      </c>
      <c r="M33" s="1"/>
    </row>
    <row r="34" spans="1:13" ht="12.95" customHeight="1" x14ac:dyDescent="0.2">
      <c r="A34" s="1"/>
      <c r="B34" s="1"/>
      <c r="C34" s="1"/>
      <c r="D34" s="1"/>
      <c r="E34" s="1"/>
      <c r="F34" s="1"/>
      <c r="G34" s="1"/>
      <c r="H34" s="1"/>
      <c r="I34" s="1"/>
      <c r="J34" s="1"/>
      <c r="K34" s="1"/>
      <c r="L34" s="52">
        <v>0.1</v>
      </c>
      <c r="M34" s="1"/>
    </row>
    <row r="35" spans="1:13" ht="12.95" customHeight="1" x14ac:dyDescent="0.2">
      <c r="A35" s="1"/>
      <c r="B35" s="1"/>
      <c r="C35" s="1"/>
      <c r="D35" s="1"/>
      <c r="E35" s="1"/>
      <c r="F35" s="1"/>
      <c r="G35" s="1"/>
      <c r="H35" s="1"/>
      <c r="I35" s="1"/>
      <c r="J35" s="1"/>
      <c r="K35" s="1"/>
      <c r="L35" s="1"/>
      <c r="M35" s="1"/>
    </row>
    <row r="36" spans="1:13" ht="12.95" customHeight="1" x14ac:dyDescent="0.2">
      <c r="A36" s="1"/>
      <c r="B36" s="1"/>
      <c r="C36" s="1"/>
      <c r="D36" s="1"/>
      <c r="E36" s="1"/>
      <c r="F36" s="1"/>
      <c r="G36" s="1"/>
      <c r="H36" s="1"/>
      <c r="I36" s="1"/>
      <c r="J36" s="1"/>
      <c r="K36" s="1"/>
      <c r="L36" s="1"/>
      <c r="M36" s="1"/>
    </row>
    <row r="37" spans="1:13" ht="12.95" customHeight="1" x14ac:dyDescent="0.2">
      <c r="A37" s="1"/>
      <c r="B37" s="1"/>
      <c r="C37" s="1"/>
      <c r="D37" s="1"/>
      <c r="E37" s="1"/>
      <c r="F37" s="1"/>
      <c r="G37" s="1"/>
      <c r="H37" s="1"/>
      <c r="I37" s="1"/>
      <c r="J37" s="1"/>
      <c r="K37" s="1"/>
      <c r="L37" s="1"/>
      <c r="M37" s="1"/>
    </row>
  </sheetData>
  <mergeCells count="33">
    <mergeCell ref="B27:C27"/>
    <mergeCell ref="B31:C31"/>
    <mergeCell ref="B19:C19"/>
    <mergeCell ref="B20:C20"/>
    <mergeCell ref="B21:C21"/>
    <mergeCell ref="B22:C22"/>
    <mergeCell ref="B28:C28"/>
    <mergeCell ref="B29:C29"/>
    <mergeCell ref="B30:C30"/>
    <mergeCell ref="B26:C26"/>
    <mergeCell ref="B23:C23"/>
    <mergeCell ref="B2:F2"/>
    <mergeCell ref="B3:F3"/>
    <mergeCell ref="B5:C5"/>
    <mergeCell ref="D5:F5"/>
    <mergeCell ref="D7:F7"/>
    <mergeCell ref="B4:C4"/>
    <mergeCell ref="D4:F4"/>
    <mergeCell ref="D6:F6"/>
    <mergeCell ref="D8:F8"/>
    <mergeCell ref="B10:C10"/>
    <mergeCell ref="D10:F10"/>
    <mergeCell ref="D11:F11"/>
    <mergeCell ref="D12:F12"/>
    <mergeCell ref="B17:D17"/>
    <mergeCell ref="B18:C18"/>
    <mergeCell ref="B24:C24"/>
    <mergeCell ref="B25:C25"/>
    <mergeCell ref="B13:C13"/>
    <mergeCell ref="D13:F13"/>
    <mergeCell ref="B14:C14"/>
    <mergeCell ref="D14:F14"/>
    <mergeCell ref="B16:F16"/>
  </mergeCells>
  <phoneticPr fontId="51" type="noConversion"/>
  <dataValidations count="13">
    <dataValidation type="list" allowBlank="1" showInputMessage="1" showErrorMessage="1" promptTitle="Delivery Option" prompt="Choose Delivery if you want your sails transported to you or pickup if you are going to come and pick them up." sqref="D26" xr:uid="{00000000-0002-0000-0000-000000000000}">
      <formula1>$I$28:$I$29</formula1>
      <formula2>0</formula2>
    </dataValidation>
    <dataValidation type="list" allowBlank="1" showInputMessage="1" showErrorMessage="1" promptTitle="Fold direction." prompt="Pockets and seams visible from which side?" sqref="D27" xr:uid="{00000000-0002-0000-0000-000001000000}">
      <formula1>$I$31:$I$33</formula1>
      <formula2>0</formula2>
    </dataValidation>
    <dataValidation type="list" allowBlank="1" showInputMessage="1" showErrorMessage="1" errorTitle="INVALID option" error="Please select an option from the drop down menu." promptTitle="Corner types" prompt="Please select the corner fixing type from the drop down menu." sqref="D21" xr:uid="{00000000-0002-0000-0000-000002000000}">
      <formula1>$S$2:$S$18</formula1>
    </dataValidation>
    <dataValidation type="list" allowBlank="1" showInputMessage="1" showErrorMessage="1" errorTitle="INVALID option" error="Please select an option from the drop down menu." promptTitle="Corner types" prompt="Please select the corner fixing type from the drop down menu." sqref="D24" xr:uid="{00000000-0002-0000-0000-000003000000}">
      <formula1>$K$13:$K$19</formula1>
    </dataValidation>
    <dataValidation type="list" allowBlank="1" showInputMessage="1" showErrorMessage="1" promptTitle="Fold direction." prompt="Pockets and seams visible from which side?" sqref="D29" xr:uid="{00000000-0002-0000-0000-000004000000}">
      <formula1>$K$25:$K$34</formula1>
    </dataValidation>
    <dataValidation type="list" allowBlank="1" showInputMessage="1" showErrorMessage="1" promptTitle="Fold direction." prompt="Pockets and seams visible from which side?" sqref="D31" xr:uid="{00000000-0002-0000-0000-000005000000}">
      <formula1>$L$25:$L$39</formula1>
    </dataValidation>
    <dataValidation type="list" allowBlank="1" showInputMessage="1" showErrorMessage="1" errorTitle="INVALID option" error="Please select an option from the drop down menu." promptTitle="Corner types" prompt="Please select the corner fixing type from the drop down menu." sqref="D25" xr:uid="{00000000-0002-0000-0000-000006000000}">
      <formula1>$I$14:$I$24</formula1>
      <formula2>0</formula2>
    </dataValidation>
    <dataValidation type="list" allowBlank="1" showInputMessage="1" showErrorMessage="1" sqref="D4:F4" xr:uid="{00000000-0002-0000-0000-000007000000}">
      <formula1>$I$3:$I$12</formula1>
    </dataValidation>
    <dataValidation type="list" allowBlank="1" showInputMessage="1" showErrorMessage="1" errorTitle="INVALID option" error="Please select an option from the drop down menu." promptTitle="Corner types" prompt="Please select the corner fixing type from the drop down menu." sqref="D22" xr:uid="{00000000-0002-0000-0000-000008000000}">
      <formula1>$M$14:$M$20</formula1>
    </dataValidation>
    <dataValidation type="list" allowBlank="1" showInputMessage="1" showErrorMessage="1" errorTitle="INVALID option" error="Please select an option from the drop down menu." promptTitle="Corner types" prompt="Please select the corner fixing type from the drop down menu." sqref="D23" xr:uid="{00000000-0002-0000-0000-000009000000}">
      <formula1>$L$13:$L$19</formula1>
    </dataValidation>
    <dataValidation type="list" allowBlank="1" showInputMessage="1" showErrorMessage="1" errorTitle="INVALID option" error="Please select an option from the drop down menu." promptTitle="Corner types" prompt="Please select the corner fixing type from the drop down menu." sqref="D18" xr:uid="{00000000-0002-0000-0000-00000A000000}">
      <formula1>$N$14:$N$20</formula1>
    </dataValidation>
    <dataValidation type="list" allowBlank="1" showInputMessage="1" showErrorMessage="1" errorTitle="INVALID option" error="Please select an option from the drop down menu." promptTitle="Corner types" prompt="Please select the corner fixing type from the drop down menu." sqref="D19" xr:uid="{00000000-0002-0000-0000-00000B000000}">
      <formula1>$P$2:$P$21</formula1>
    </dataValidation>
    <dataValidation type="list" allowBlank="1" showInputMessage="1" showErrorMessage="1" errorTitle="INVALID option" error="Please select an option from the drop down menu." promptTitle="Corner types" prompt="Please select the corner fixing type from the drop down menu." sqref="D20" xr:uid="{00000000-0002-0000-0000-00000C000000}">
      <formula1>$R$2:$R$17</formula1>
    </dataValidation>
  </dataValidations>
  <pageMargins left="0.75000000000000011" right="0.75000000000000011" top="0.98" bottom="0.98" header="0.51" footer="0.51"/>
  <pageSetup paperSize="9" scale="131" firstPageNumber="0" orientation="portrait" horizontalDpi="300" verticalDpi="300"/>
  <headerFooter alignWithMargins="0"/>
  <rowBreaks count="1" manualBreakCount="1">
    <brk id="31" max="6" man="1"/>
  </rowBreaks>
  <extLst>
    <ext xmlns:x14="http://schemas.microsoft.com/office/spreadsheetml/2009/9/main" uri="{CCE6A557-97BC-4b89-ADB6-D9C93CAAB3DF}">
      <x14:dataValidations xmlns:xm="http://schemas.microsoft.com/office/excel/2006/main" count="2">
        <x14:dataValidation type="list" allowBlank="1" showInputMessage="1" showErrorMessage="1" promptTitle="Fold direction." prompt="Pockets and seams visible from which side?" xr:uid="{00000000-0002-0000-0000-00000D000000}">
          <x14:formula1>
            <xm:f>Main!$AH$51:$AH$57</xm:f>
          </x14:formula1>
          <xm:sqref>D28</xm:sqref>
        </x14:dataValidation>
        <x14:dataValidation type="list" allowBlank="1" showInputMessage="1" showErrorMessage="1" promptTitle="Fold direction." prompt="Pockets and seams visible from which side?" xr:uid="{00000000-0002-0000-0000-00000E000000}">
          <x14:formula1>
            <xm:f>Main!$AI$61:$AI$79</xm:f>
          </x14:formula1>
          <xm:sqref>D30</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AM195"/>
  <sheetViews>
    <sheetView showGridLines="0" topLeftCell="A5" workbookViewId="0">
      <selection activeCell="J28" sqref="J28:O28"/>
    </sheetView>
  </sheetViews>
  <sheetFormatPr defaultColWidth="8.85546875" defaultRowHeight="18.95" customHeight="1" x14ac:dyDescent="0.2"/>
  <cols>
    <col min="1" max="1" width="8.85546875" style="1"/>
    <col min="2" max="2" width="0" style="1" hidden="1" customWidth="1"/>
    <col min="3" max="3" width="6" style="1" customWidth="1"/>
    <col min="4" max="4" width="12.42578125" style="1" customWidth="1"/>
    <col min="5" max="5" width="0" style="1" hidden="1" customWidth="1"/>
    <col min="6" max="6" width="11.7109375" style="1" customWidth="1"/>
    <col min="7" max="7" width="10" style="1" customWidth="1"/>
    <col min="8" max="8" width="9.85546875" style="1" customWidth="1"/>
    <col min="9" max="9" width="8.85546875" style="1"/>
    <col min="10" max="10" width="3.7109375" style="1" customWidth="1"/>
    <col min="11" max="11" width="15.28515625" style="1" customWidth="1"/>
    <col min="12" max="12" width="16.7109375" style="1" customWidth="1"/>
    <col min="13" max="13" width="23" style="1" customWidth="1"/>
    <col min="14" max="14" width="13.42578125" style="1" customWidth="1"/>
    <col min="15" max="15" width="13.28515625" style="1" customWidth="1"/>
    <col min="16" max="16" width="14" style="1" bestFit="1" customWidth="1"/>
    <col min="17" max="17" width="8.85546875" style="1"/>
    <col min="18" max="18" width="9.42578125" style="1" customWidth="1"/>
    <col min="19" max="37" width="8.85546875" style="1" customWidth="1"/>
    <col min="38" max="38" width="16.85546875" style="1" customWidth="1"/>
    <col min="39" max="41" width="8.85546875" style="1" customWidth="1"/>
    <col min="42" max="16384" width="8.85546875" style="1"/>
  </cols>
  <sheetData>
    <row r="1" spans="3:17" ht="18.95" hidden="1" customHeight="1" x14ac:dyDescent="0.2"/>
    <row r="2" spans="3:17" ht="18.95" hidden="1" customHeight="1" x14ac:dyDescent="0.25">
      <c r="C2" s="219" t="s">
        <v>25</v>
      </c>
      <c r="D2" s="219"/>
      <c r="E2" s="15"/>
      <c r="F2" s="220">
        <f ca="1">TODAY()</f>
        <v>46135</v>
      </c>
      <c r="G2" s="220"/>
      <c r="H2" s="16"/>
      <c r="I2" s="17"/>
      <c r="J2" s="18"/>
      <c r="K2" s="14" t="s">
        <v>26</v>
      </c>
      <c r="L2" s="221" t="str">
        <f>IF(Details!D26="PICKUP","PICK UP",Details!D7)</f>
        <v>PICK UP</v>
      </c>
      <c r="M2" s="221"/>
      <c r="N2" s="221"/>
      <c r="O2" s="221"/>
    </row>
    <row r="3" spans="3:17" ht="18.95" hidden="1" customHeight="1" x14ac:dyDescent="0.25">
      <c r="C3" s="222" t="s">
        <v>27</v>
      </c>
      <c r="D3" s="222"/>
      <c r="E3" s="20"/>
      <c r="F3" s="223" t="str">
        <f>Details!D5</f>
        <v>Mackay</v>
      </c>
      <c r="G3" s="223"/>
      <c r="H3" s="223"/>
      <c r="I3" s="223"/>
      <c r="J3" s="18"/>
      <c r="K3" s="19" t="s">
        <v>28</v>
      </c>
      <c r="L3" s="223" t="str">
        <f>IF(Details!D26="PICKUP","-",CONCATENATE(Details!D8," ",Details!D9," ",Details!F9))</f>
        <v>-</v>
      </c>
      <c r="M3" s="223"/>
      <c r="N3" s="223"/>
      <c r="O3" s="223"/>
    </row>
    <row r="4" spans="3:17" ht="18.95" hidden="1" customHeight="1" thickBot="1" x14ac:dyDescent="0.3">
      <c r="C4" s="215" t="s">
        <v>29</v>
      </c>
      <c r="D4" s="215"/>
      <c r="E4" s="22"/>
      <c r="F4" s="216"/>
      <c r="G4" s="216"/>
      <c r="H4" s="216"/>
      <c r="I4" s="216"/>
      <c r="J4" s="18"/>
      <c r="K4" s="21" t="s">
        <v>30</v>
      </c>
      <c r="L4" s="23" t="str">
        <f>Details!D13</f>
        <v>-</v>
      </c>
      <c r="M4" s="217" t="str">
        <f>Details!D14</f>
        <v>-</v>
      </c>
      <c r="N4" s="217"/>
      <c r="O4" s="217"/>
    </row>
    <row r="5" spans="3:17" ht="18.95" customHeight="1" thickBot="1" x14ac:dyDescent="0.3">
      <c r="C5" s="24"/>
      <c r="D5" s="25"/>
      <c r="E5" s="18"/>
      <c r="F5" s="26"/>
      <c r="G5" s="26"/>
      <c r="H5" s="26"/>
      <c r="I5" s="26"/>
      <c r="J5" s="18"/>
      <c r="K5" s="25"/>
      <c r="L5" s="27"/>
      <c r="M5" s="26"/>
      <c r="N5" s="26"/>
      <c r="O5" s="26"/>
    </row>
    <row r="6" spans="3:17" ht="18.95" customHeight="1" thickBot="1" x14ac:dyDescent="0.3">
      <c r="C6" s="211" t="s">
        <v>31</v>
      </c>
      <c r="D6" s="211"/>
      <c r="E6" s="28"/>
      <c r="F6" s="212" t="s">
        <v>246</v>
      </c>
      <c r="G6" s="212"/>
      <c r="H6" s="212"/>
      <c r="I6" s="218"/>
      <c r="J6" s="218"/>
      <c r="K6" s="206"/>
      <c r="L6" s="206"/>
      <c r="M6" s="207"/>
      <c r="N6" s="207"/>
      <c r="O6" s="30"/>
    </row>
    <row r="7" spans="3:17" ht="18.95" customHeight="1" thickBot="1" x14ac:dyDescent="0.3">
      <c r="C7" s="211" t="s">
        <v>34</v>
      </c>
      <c r="D7" s="211"/>
      <c r="E7" s="28"/>
      <c r="F7" s="212" t="s">
        <v>82</v>
      </c>
      <c r="G7" s="212"/>
      <c r="H7" s="212"/>
      <c r="I7" s="18"/>
      <c r="J7" s="18"/>
      <c r="K7" s="206"/>
      <c r="L7" s="206"/>
      <c r="M7" s="213"/>
      <c r="N7" s="213"/>
      <c r="O7" s="18"/>
    </row>
    <row r="8" spans="3:17" ht="18.95" customHeight="1" thickBot="1" x14ac:dyDescent="0.3">
      <c r="C8" s="18"/>
      <c r="D8" s="18"/>
      <c r="E8" s="18"/>
      <c r="F8" s="18"/>
      <c r="G8" s="18"/>
      <c r="H8" s="18"/>
      <c r="I8" s="18"/>
      <c r="J8" s="18"/>
      <c r="K8" s="206"/>
      <c r="L8" s="206"/>
      <c r="M8" s="214"/>
      <c r="N8" s="214"/>
      <c r="O8" s="18"/>
    </row>
    <row r="9" spans="3:17" ht="18.95" customHeight="1" thickBot="1" x14ac:dyDescent="0.3">
      <c r="C9" s="205" t="s">
        <v>37</v>
      </c>
      <c r="D9" s="205"/>
      <c r="E9" s="205"/>
      <c r="F9" s="205"/>
      <c r="G9" s="171">
        <v>6</v>
      </c>
      <c r="H9" s="18"/>
      <c r="I9" s="18"/>
      <c r="J9" s="18"/>
      <c r="K9" s="206"/>
      <c r="L9" s="206"/>
      <c r="M9" s="207"/>
      <c r="N9" s="207"/>
      <c r="O9" s="18"/>
    </row>
    <row r="10" spans="3:17" ht="18.95" customHeight="1" x14ac:dyDescent="0.25">
      <c r="C10" s="18"/>
      <c r="D10" s="18"/>
      <c r="E10" s="18"/>
      <c r="F10" s="18"/>
      <c r="G10" s="18"/>
      <c r="H10" s="18"/>
      <c r="I10" s="18"/>
      <c r="J10" s="18"/>
      <c r="K10" s="18"/>
      <c r="L10" s="18"/>
      <c r="M10" s="18"/>
      <c r="N10" s="208" t="s">
        <v>38</v>
      </c>
      <c r="O10" s="208" t="s">
        <v>39</v>
      </c>
    </row>
    <row r="11" spans="3:17" ht="18.95" customHeight="1" x14ac:dyDescent="0.25">
      <c r="C11" s="209" t="str">
        <f>'shade check'!C9</f>
        <v>POINT-POINT</v>
      </c>
      <c r="D11" s="209"/>
      <c r="E11" s="31"/>
      <c r="F11" s="32" t="str">
        <f>'shade check'!F9</f>
        <v>OFFSET</v>
      </c>
      <c r="G11" s="32" t="s">
        <v>40</v>
      </c>
      <c r="H11" s="32" t="s">
        <v>352</v>
      </c>
      <c r="I11" s="33"/>
      <c r="J11" s="210" t="s">
        <v>41</v>
      </c>
      <c r="K11" s="210"/>
      <c r="L11" s="32" t="str">
        <f>'shade check'!K9</f>
        <v>FIXED TO</v>
      </c>
      <c r="M11" s="32" t="str">
        <f>'shade check'!L9</f>
        <v>FIXING</v>
      </c>
      <c r="N11" s="208"/>
      <c r="O11" s="208"/>
    </row>
    <row r="12" spans="3:17" ht="18.95" customHeight="1" x14ac:dyDescent="0.25">
      <c r="C12" s="18"/>
      <c r="D12" s="18"/>
      <c r="E12" s="18"/>
      <c r="F12" s="18"/>
      <c r="G12" s="18"/>
      <c r="H12" s="18"/>
      <c r="I12" s="18"/>
      <c r="J12" s="18"/>
      <c r="K12" s="18"/>
      <c r="L12" s="18"/>
      <c r="M12" s="18"/>
      <c r="N12" s="18"/>
      <c r="O12" s="18"/>
    </row>
    <row r="13" spans="3:17" ht="18.95" customHeight="1" x14ac:dyDescent="0.25">
      <c r="C13" s="34" t="str">
        <f>'shade check'!C11</f>
        <v>A-B</v>
      </c>
      <c r="D13" s="169">
        <v>4370</v>
      </c>
      <c r="E13" s="35"/>
      <c r="F13" s="162">
        <f>Details!$D$31</f>
        <v>0.05</v>
      </c>
      <c r="G13" s="36">
        <f>ROUND('shade check'!AZ23,-1)</f>
        <v>220</v>
      </c>
      <c r="H13" s="163" t="s">
        <v>2</v>
      </c>
      <c r="I13" s="25" t="str">
        <f>'shade check'!H11</f>
        <v>A</v>
      </c>
      <c r="J13" s="202"/>
      <c r="K13" s="202"/>
      <c r="L13" s="167"/>
      <c r="M13" s="168"/>
      <c r="N13" s="39" t="e">
        <f>VLOOKUP(Main!M13,Main!$P$13:$Q$18,2,FALSE)</f>
        <v>#N/A</v>
      </c>
      <c r="O13" s="165" t="s">
        <v>2</v>
      </c>
      <c r="P13" s="1" t="s">
        <v>219</v>
      </c>
      <c r="Q13" s="1">
        <f>Details!D23</f>
        <v>400</v>
      </c>
    </row>
    <row r="14" spans="3:17" ht="18.95" customHeight="1" x14ac:dyDescent="0.25">
      <c r="C14" s="34" t="str">
        <f>'shade check'!C12</f>
        <v>B-C</v>
      </c>
      <c r="D14" s="169">
        <v>4340</v>
      </c>
      <c r="E14" s="37"/>
      <c r="F14" s="162">
        <f>Details!$D$31</f>
        <v>0.05</v>
      </c>
      <c r="G14" s="38">
        <f>ROUND('shade check'!AZ24,-1)</f>
        <v>220</v>
      </c>
      <c r="H14" s="163" t="s">
        <v>2</v>
      </c>
      <c r="I14" s="25" t="str">
        <f>'shade check'!H12</f>
        <v>B</v>
      </c>
      <c r="J14" s="202"/>
      <c r="K14" s="202"/>
      <c r="L14" s="167"/>
      <c r="M14" s="168"/>
      <c r="N14" s="39" t="e">
        <f>VLOOKUP(Main!M14,Main!$P$13:$Q$18,2,FALSE)</f>
        <v>#N/A</v>
      </c>
      <c r="O14" s="166" t="s">
        <v>2</v>
      </c>
      <c r="P14" s="1" t="s">
        <v>349</v>
      </c>
      <c r="Q14" s="1">
        <f>Details!D24</f>
        <v>80</v>
      </c>
    </row>
    <row r="15" spans="3:17" ht="18.95" customHeight="1" x14ac:dyDescent="0.25">
      <c r="C15" s="34" t="str">
        <f>'shade check'!C13</f>
        <v>C-D</v>
      </c>
      <c r="D15" s="169">
        <v>7160</v>
      </c>
      <c r="E15" s="37"/>
      <c r="F15" s="162">
        <f>Details!$D$31</f>
        <v>0.05</v>
      </c>
      <c r="G15" s="38">
        <f>ROUND('shade check'!AZ25,-1)</f>
        <v>360</v>
      </c>
      <c r="H15" s="163" t="s">
        <v>2</v>
      </c>
      <c r="I15" s="25" t="str">
        <f>'shade check'!H13</f>
        <v>C</v>
      </c>
      <c r="J15" s="202"/>
      <c r="K15" s="202"/>
      <c r="L15" s="167"/>
      <c r="M15" s="168"/>
      <c r="N15" s="39" t="e">
        <f>VLOOKUP(Main!M15,Main!$P$13:$Q$18,2,FALSE)</f>
        <v>#N/A</v>
      </c>
      <c r="O15" s="166" t="s">
        <v>2</v>
      </c>
      <c r="P15" s="1" t="s">
        <v>350</v>
      </c>
      <c r="Q15" s="1">
        <f>Details!D22</f>
        <v>0</v>
      </c>
    </row>
    <row r="16" spans="3:17" ht="18.95" customHeight="1" x14ac:dyDescent="0.25">
      <c r="C16" s="34" t="str">
        <f>'shade check'!C14</f>
        <v>D-E</v>
      </c>
      <c r="D16" s="169">
        <v>3490</v>
      </c>
      <c r="E16" s="37"/>
      <c r="F16" s="162">
        <f>Details!$D$31</f>
        <v>0.05</v>
      </c>
      <c r="G16" s="38">
        <f>ROUND('shade check'!AZ26,-1)</f>
        <v>170</v>
      </c>
      <c r="H16" s="163" t="s">
        <v>2</v>
      </c>
      <c r="I16" s="25" t="str">
        <f>'shade check'!H14</f>
        <v>D</v>
      </c>
      <c r="J16" s="202"/>
      <c r="K16" s="202"/>
      <c r="L16" s="167"/>
      <c r="M16" s="168"/>
      <c r="N16" s="39" t="e">
        <f>VLOOKUP(Main!M16,Main!$P$13:$Q$18,2,FALSE)</f>
        <v>#N/A</v>
      </c>
      <c r="O16" s="166" t="s">
        <v>2</v>
      </c>
      <c r="P16" s="1" t="s">
        <v>351</v>
      </c>
      <c r="Q16" s="156">
        <v>0</v>
      </c>
    </row>
    <row r="17" spans="3:17" ht="18.95" customHeight="1" x14ac:dyDescent="0.25">
      <c r="C17" s="34" t="str">
        <f>'shade check'!C15</f>
        <v>E-F</v>
      </c>
      <c r="D17" s="169">
        <v>2600</v>
      </c>
      <c r="E17" s="37"/>
      <c r="F17" s="162">
        <f>Details!$D$31</f>
        <v>0.05</v>
      </c>
      <c r="G17" s="38">
        <f>ROUND('shade check'!AZ27,-1)</f>
        <v>130</v>
      </c>
      <c r="H17" s="163"/>
      <c r="I17" s="25" t="str">
        <f>'shade check'!H15</f>
        <v>E</v>
      </c>
      <c r="J17" s="202"/>
      <c r="K17" s="202"/>
      <c r="L17" s="167"/>
      <c r="M17" s="168"/>
      <c r="N17" s="39" t="e">
        <f>VLOOKUP(Main!M17,Main!$P$13:$Q$18,2,FALSE)</f>
        <v>#N/A</v>
      </c>
      <c r="O17" s="166" t="s">
        <v>2</v>
      </c>
      <c r="P17" s="1" t="s">
        <v>48</v>
      </c>
    </row>
    <row r="18" spans="3:17" ht="18.95" customHeight="1" x14ac:dyDescent="0.25">
      <c r="C18" s="34" t="str">
        <f>'shade check'!C16</f>
        <v>F-A</v>
      </c>
      <c r="D18" s="169">
        <v>7480</v>
      </c>
      <c r="E18" s="37"/>
      <c r="F18" s="162">
        <f>Details!$D$31</f>
        <v>0.05</v>
      </c>
      <c r="G18" s="38">
        <f>ROUND('shade check'!AZ28,-1)</f>
        <v>140</v>
      </c>
      <c r="H18" s="163" t="s">
        <v>2</v>
      </c>
      <c r="I18" s="25" t="str">
        <f>'shade check'!H16</f>
        <v>F</v>
      </c>
      <c r="J18" s="202"/>
      <c r="K18" s="202"/>
      <c r="L18" s="167" t="s">
        <v>2</v>
      </c>
      <c r="M18" s="168" t="s">
        <v>2</v>
      </c>
      <c r="N18" s="39" t="e">
        <f>VLOOKUP(Main!M18,Main!$P$13:$Q$18,2,FALSE)</f>
        <v>#N/A</v>
      </c>
      <c r="O18" s="166" t="s">
        <v>2</v>
      </c>
      <c r="P18" s="1" t="s">
        <v>44</v>
      </c>
      <c r="Q18" s="1">
        <f>Details!D18</f>
        <v>150</v>
      </c>
    </row>
    <row r="19" spans="3:17" ht="18.95" customHeight="1" x14ac:dyDescent="0.25">
      <c r="C19" s="34" t="str">
        <f>'shade check'!C17</f>
        <v/>
      </c>
      <c r="D19" s="169" t="s">
        <v>2</v>
      </c>
      <c r="E19" s="37"/>
      <c r="F19" s="162">
        <f>Details!$D$31</f>
        <v>0.05</v>
      </c>
      <c r="G19" s="38">
        <f>ROUND('shade check'!AZ29,-1)</f>
        <v>0</v>
      </c>
      <c r="H19" s="163" t="s">
        <v>2</v>
      </c>
      <c r="I19" s="25" t="str">
        <f>'shade check'!H17</f>
        <v/>
      </c>
      <c r="J19" s="202">
        <v>0</v>
      </c>
      <c r="K19" s="202"/>
      <c r="L19" s="167" t="s">
        <v>2</v>
      </c>
      <c r="M19" s="168" t="s">
        <v>2</v>
      </c>
      <c r="N19" s="39" t="e">
        <f>VLOOKUP(Main!M19,Main!$P$13:$Q$18,2,FALSE)</f>
        <v>#N/A</v>
      </c>
      <c r="O19" s="166" t="s">
        <v>2</v>
      </c>
    </row>
    <row r="20" spans="3:17" ht="18.95" customHeight="1" x14ac:dyDescent="0.25">
      <c r="C20" s="34" t="str">
        <f>'shade check'!C18</f>
        <v/>
      </c>
      <c r="D20" s="170" t="s">
        <v>2</v>
      </c>
      <c r="E20" s="40"/>
      <c r="F20" s="162">
        <f>Details!$D$31</f>
        <v>0.05</v>
      </c>
      <c r="G20" s="41">
        <f>ROUND('shade check'!AZ30,-1)</f>
        <v>0</v>
      </c>
      <c r="H20" s="164" t="s">
        <v>2</v>
      </c>
      <c r="I20" s="25" t="str">
        <f>'shade check'!H18</f>
        <v/>
      </c>
      <c r="J20" s="202">
        <v>0</v>
      </c>
      <c r="K20" s="202"/>
      <c r="L20" s="167" t="s">
        <v>2</v>
      </c>
      <c r="M20" s="168" t="s">
        <v>2</v>
      </c>
      <c r="N20" s="39" t="e">
        <f>VLOOKUP(Main!M20,Main!$P$13:$Q$18,2,FALSE)</f>
        <v>#N/A</v>
      </c>
      <c r="O20" s="166" t="s">
        <v>2</v>
      </c>
    </row>
    <row r="21" spans="3:17" ht="18.95" customHeight="1" x14ac:dyDescent="0.25">
      <c r="C21" s="18"/>
      <c r="D21" s="18"/>
      <c r="E21" s="18"/>
      <c r="F21" s="18"/>
      <c r="G21" s="18"/>
      <c r="H21" s="18"/>
      <c r="I21" s="18"/>
      <c r="J21" s="18"/>
      <c r="K21" s="18"/>
      <c r="L21" s="42"/>
      <c r="M21" s="43"/>
      <c r="N21" s="29"/>
      <c r="O21" s="18"/>
    </row>
    <row r="22" spans="3:17" ht="18.95" customHeight="1" x14ac:dyDescent="0.25">
      <c r="C22" s="44" t="str">
        <f>'shade check'!C23</f>
        <v>DIAGONAL POINT TO POINT</v>
      </c>
      <c r="D22" s="44"/>
      <c r="E22" s="44"/>
      <c r="F22" s="45"/>
      <c r="G22" s="46"/>
      <c r="H22" s="46"/>
      <c r="I22" s="18"/>
      <c r="J22" s="204"/>
      <c r="K22" s="204"/>
      <c r="L22" s="18"/>
      <c r="M22" s="18"/>
      <c r="N22" s="18"/>
      <c r="O22" s="18"/>
    </row>
    <row r="23" spans="3:17" ht="18.95" customHeight="1" x14ac:dyDescent="0.25">
      <c r="C23" s="18"/>
      <c r="D23" s="18"/>
      <c r="E23" s="18"/>
      <c r="F23" s="45"/>
      <c r="G23" s="47"/>
      <c r="H23" s="47"/>
      <c r="I23" s="18"/>
      <c r="J23" s="203"/>
      <c r="K23" s="203"/>
      <c r="L23" s="203"/>
      <c r="M23" s="203"/>
      <c r="N23" s="203"/>
      <c r="O23" s="203"/>
    </row>
    <row r="24" spans="3:17" ht="18.95" customHeight="1" x14ac:dyDescent="0.25">
      <c r="C24" s="34" t="str">
        <f>'shade check'!C25</f>
        <v>A-C</v>
      </c>
      <c r="D24" s="169">
        <v>7750</v>
      </c>
      <c r="E24" s="18"/>
      <c r="F24" s="18"/>
      <c r="G24" s="18"/>
      <c r="H24" s="18"/>
      <c r="I24" s="18"/>
      <c r="J24" s="203"/>
      <c r="K24" s="203"/>
      <c r="L24" s="203"/>
      <c r="M24" s="203"/>
      <c r="N24" s="203"/>
      <c r="O24" s="203"/>
    </row>
    <row r="25" spans="3:17" ht="18.95" customHeight="1" x14ac:dyDescent="0.25">
      <c r="C25" s="34" t="str">
        <f>'shade check'!C26</f>
        <v>A-D</v>
      </c>
      <c r="D25" s="169">
        <v>10420</v>
      </c>
      <c r="E25" s="18"/>
      <c r="F25" s="44"/>
      <c r="G25" s="44"/>
      <c r="H25" s="44"/>
      <c r="I25" s="18"/>
      <c r="J25" s="203"/>
      <c r="K25" s="203"/>
      <c r="L25" s="203"/>
      <c r="M25" s="203"/>
      <c r="N25" s="203"/>
      <c r="O25" s="203"/>
    </row>
    <row r="26" spans="3:17" ht="18.95" customHeight="1" x14ac:dyDescent="0.25">
      <c r="C26" s="34" t="str">
        <f>'shade check'!C27</f>
        <v>A-E</v>
      </c>
      <c r="D26" s="169">
        <v>8280</v>
      </c>
      <c r="E26" s="18"/>
      <c r="F26" s="18"/>
      <c r="G26" s="18"/>
      <c r="H26" s="18"/>
      <c r="I26" s="18"/>
      <c r="J26" s="203"/>
      <c r="K26" s="203"/>
      <c r="L26" s="203"/>
      <c r="M26" s="203"/>
      <c r="N26" s="203"/>
      <c r="O26" s="203"/>
    </row>
    <row r="27" spans="3:17" ht="18.95" customHeight="1" x14ac:dyDescent="0.25">
      <c r="C27" s="34" t="str">
        <f>'shade check'!C28</f>
        <v>B-D</v>
      </c>
      <c r="D27" s="169">
        <v>8300</v>
      </c>
      <c r="E27" s="18"/>
      <c r="F27" s="18"/>
      <c r="G27" s="18"/>
      <c r="H27" s="18"/>
      <c r="I27" s="18"/>
      <c r="J27" s="203"/>
      <c r="K27" s="203"/>
      <c r="L27" s="203"/>
      <c r="M27" s="203"/>
      <c r="N27" s="203"/>
      <c r="O27" s="203"/>
    </row>
    <row r="28" spans="3:17" ht="18.95" customHeight="1" x14ac:dyDescent="0.25">
      <c r="C28" s="34" t="str">
        <f>'shade check'!C29</f>
        <v>B-E</v>
      </c>
      <c r="D28" s="169">
        <v>7390</v>
      </c>
      <c r="E28" s="18"/>
      <c r="F28" s="18"/>
      <c r="G28" s="18"/>
      <c r="H28" s="18"/>
      <c r="I28" s="18"/>
      <c r="J28" s="203"/>
      <c r="K28" s="203"/>
      <c r="L28" s="203"/>
      <c r="M28" s="203"/>
      <c r="N28" s="203"/>
      <c r="O28" s="203"/>
    </row>
    <row r="29" spans="3:17" ht="18.95" customHeight="1" x14ac:dyDescent="0.25">
      <c r="C29" s="34" t="str">
        <f>'shade check'!C30</f>
        <v>B-F</v>
      </c>
      <c r="D29" s="169">
        <v>8020</v>
      </c>
      <c r="E29" s="18"/>
      <c r="F29" s="18"/>
      <c r="G29" s="18"/>
      <c r="H29" s="18"/>
      <c r="I29" s="18"/>
      <c r="J29" s="18"/>
      <c r="K29" s="18"/>
      <c r="L29" s="18"/>
      <c r="M29" s="18"/>
      <c r="N29" s="18"/>
      <c r="O29" s="18"/>
    </row>
    <row r="30" spans="3:17" ht="18.95" customHeight="1" x14ac:dyDescent="0.25">
      <c r="C30" s="34" t="str">
        <f>'shade check'!C31</f>
        <v>C-E</v>
      </c>
      <c r="D30" s="169">
        <v>8080</v>
      </c>
      <c r="E30" s="18"/>
      <c r="F30" s="18"/>
      <c r="G30" s="18"/>
      <c r="H30" s="18"/>
      <c r="I30" s="18"/>
      <c r="J30" s="18"/>
      <c r="K30" s="18"/>
      <c r="L30" s="18"/>
      <c r="M30" s="18"/>
      <c r="N30" s="18"/>
      <c r="O30" s="18"/>
    </row>
    <row r="31" spans="3:17" ht="18.95" customHeight="1" x14ac:dyDescent="0.25">
      <c r="C31" s="34" t="str">
        <f>'shade check'!C32</f>
        <v>C-F</v>
      </c>
      <c r="D31" s="169">
        <v>9570</v>
      </c>
      <c r="E31" s="18"/>
      <c r="F31" s="18"/>
      <c r="G31" s="18"/>
      <c r="H31" s="18"/>
      <c r="I31" s="18"/>
      <c r="J31" s="18"/>
      <c r="K31" s="18"/>
      <c r="L31" s="18"/>
      <c r="M31" s="18"/>
      <c r="N31" s="18"/>
      <c r="O31" s="18"/>
    </row>
    <row r="32" spans="3:17" ht="18.95" customHeight="1" x14ac:dyDescent="0.25">
      <c r="C32" s="34" t="str">
        <f>'shade check'!C33</f>
        <v>D-F</v>
      </c>
      <c r="D32" s="169">
        <v>5990</v>
      </c>
      <c r="E32" s="18"/>
      <c r="F32" s="18"/>
      <c r="G32" s="18"/>
      <c r="H32" s="18"/>
      <c r="I32" s="18"/>
      <c r="J32" s="18"/>
      <c r="K32" s="18"/>
      <c r="L32" s="18"/>
      <c r="M32" s="18"/>
      <c r="N32" s="18"/>
      <c r="O32" s="18"/>
    </row>
    <row r="33" spans="3:15" ht="18.95" customHeight="1" x14ac:dyDescent="0.25">
      <c r="C33" s="34" t="str">
        <f>'shade check'!C34</f>
        <v/>
      </c>
      <c r="D33" s="169" t="s">
        <v>2</v>
      </c>
      <c r="E33" s="18"/>
      <c r="F33" s="18"/>
      <c r="G33" s="18"/>
      <c r="H33" s="18"/>
      <c r="I33" s="18"/>
      <c r="J33" s="18"/>
      <c r="K33" s="18"/>
      <c r="L33" s="18"/>
      <c r="M33" s="18"/>
      <c r="N33" s="18"/>
      <c r="O33" s="18"/>
    </row>
    <row r="34" spans="3:15" ht="18.95" customHeight="1" x14ac:dyDescent="0.25">
      <c r="C34" s="34" t="str">
        <f>'shade check'!C35</f>
        <v/>
      </c>
      <c r="D34" s="169" t="s">
        <v>2</v>
      </c>
      <c r="E34" s="18"/>
      <c r="F34" s="18"/>
      <c r="G34" s="18"/>
      <c r="H34" s="18"/>
      <c r="I34" s="18"/>
      <c r="J34" s="18"/>
      <c r="K34" s="18"/>
      <c r="L34" s="18"/>
      <c r="M34" s="18"/>
      <c r="N34" s="18"/>
      <c r="O34" s="18"/>
    </row>
    <row r="35" spans="3:15" ht="18.95" customHeight="1" x14ac:dyDescent="0.25">
      <c r="C35" s="34" t="str">
        <f>'shade check'!C36</f>
        <v/>
      </c>
      <c r="D35" s="169" t="s">
        <v>2</v>
      </c>
      <c r="E35" s="18"/>
      <c r="F35" s="18"/>
      <c r="G35" s="18"/>
      <c r="H35" s="18"/>
      <c r="I35" s="18"/>
      <c r="J35" s="18"/>
      <c r="K35" s="18"/>
      <c r="L35" s="18"/>
      <c r="M35" s="18"/>
      <c r="N35" s="18"/>
      <c r="O35" s="18"/>
    </row>
    <row r="36" spans="3:15" ht="18.95" customHeight="1" x14ac:dyDescent="0.25">
      <c r="C36" s="34" t="str">
        <f>'shade check'!C37</f>
        <v/>
      </c>
      <c r="D36" s="169" t="s">
        <v>2</v>
      </c>
      <c r="E36" s="18"/>
      <c r="F36" s="18"/>
      <c r="G36" s="18"/>
      <c r="H36" s="18"/>
      <c r="I36" s="18"/>
      <c r="J36" s="18"/>
      <c r="K36" s="18"/>
      <c r="L36" s="18"/>
      <c r="M36" s="18"/>
      <c r="N36" s="18"/>
      <c r="O36" s="18"/>
    </row>
    <row r="37" spans="3:15" ht="18.95" customHeight="1" x14ac:dyDescent="0.25">
      <c r="C37" s="34" t="str">
        <f>'shade check'!C38</f>
        <v/>
      </c>
      <c r="D37" s="169" t="s">
        <v>2</v>
      </c>
      <c r="E37" s="18"/>
      <c r="F37" s="18"/>
      <c r="G37" s="18"/>
      <c r="H37" s="18"/>
      <c r="I37" s="18"/>
      <c r="J37" s="18"/>
      <c r="K37" s="18"/>
      <c r="L37" s="18"/>
      <c r="M37" s="18"/>
      <c r="N37" s="18"/>
      <c r="O37" s="18"/>
    </row>
    <row r="38" spans="3:15" ht="18.95" customHeight="1" x14ac:dyDescent="0.25">
      <c r="C38" s="34" t="str">
        <f>'shade check'!C39</f>
        <v/>
      </c>
      <c r="D38" s="169" t="s">
        <v>2</v>
      </c>
      <c r="E38" s="18"/>
      <c r="F38" s="18"/>
      <c r="G38" s="18"/>
      <c r="H38" s="18"/>
      <c r="I38" s="18"/>
      <c r="J38" s="18"/>
      <c r="K38" s="18"/>
      <c r="L38" s="18"/>
      <c r="M38" s="18"/>
      <c r="N38" s="18"/>
      <c r="O38" s="18"/>
    </row>
    <row r="39" spans="3:15" ht="18.95" customHeight="1" x14ac:dyDescent="0.25">
      <c r="C39" s="34" t="str">
        <f>'shade check'!C40</f>
        <v/>
      </c>
      <c r="D39" s="169" t="s">
        <v>2</v>
      </c>
      <c r="E39" s="18"/>
      <c r="F39" s="18"/>
      <c r="G39" s="18"/>
      <c r="H39" s="18"/>
      <c r="I39" s="18"/>
      <c r="J39" s="18"/>
      <c r="K39" s="18"/>
      <c r="L39" s="18"/>
      <c r="M39" s="18"/>
      <c r="N39" s="18"/>
      <c r="O39" s="18"/>
    </row>
    <row r="40" spans="3:15" ht="18.95" customHeight="1" x14ac:dyDescent="0.25">
      <c r="C40" s="34" t="str">
        <f>'shade check'!C41</f>
        <v/>
      </c>
      <c r="D40" s="169" t="s">
        <v>2</v>
      </c>
      <c r="E40" s="18"/>
      <c r="F40" s="18"/>
      <c r="G40" s="18"/>
      <c r="H40" s="18"/>
      <c r="I40" s="18"/>
      <c r="J40" s="18"/>
      <c r="K40" s="18"/>
      <c r="L40" s="18"/>
      <c r="M40" s="18"/>
      <c r="N40" s="18"/>
      <c r="O40" s="18"/>
    </row>
    <row r="41" spans="3:15" ht="18.95" customHeight="1" x14ac:dyDescent="0.25">
      <c r="C41" s="34" t="str">
        <f>'shade check'!C42</f>
        <v/>
      </c>
      <c r="D41" s="169" t="s">
        <v>2</v>
      </c>
      <c r="E41" s="18"/>
      <c r="F41" s="18"/>
      <c r="G41" s="18"/>
      <c r="H41" s="18"/>
      <c r="I41" s="18"/>
      <c r="J41" s="18"/>
      <c r="K41" s="18"/>
      <c r="L41" s="18"/>
      <c r="M41" s="18"/>
      <c r="N41" s="18"/>
      <c r="O41" s="18"/>
    </row>
    <row r="42" spans="3:15" ht="18.95" customHeight="1" x14ac:dyDescent="0.25">
      <c r="C42" s="34" t="str">
        <f>'shade check'!C43</f>
        <v/>
      </c>
      <c r="D42" s="169" t="s">
        <v>2</v>
      </c>
      <c r="E42" s="18"/>
      <c r="F42" s="18"/>
      <c r="G42" s="18"/>
      <c r="H42" s="18"/>
      <c r="I42" s="18"/>
      <c r="J42" s="18"/>
      <c r="K42" s="18"/>
      <c r="L42" s="18"/>
      <c r="M42" s="18"/>
      <c r="N42" s="18"/>
      <c r="O42" s="18"/>
    </row>
    <row r="43" spans="3:15" ht="18.95" customHeight="1" x14ac:dyDescent="0.25">
      <c r="C43" s="34" t="str">
        <f>'shade check'!C44</f>
        <v/>
      </c>
      <c r="D43" s="170" t="s">
        <v>2</v>
      </c>
      <c r="E43" s="18"/>
      <c r="F43" s="18"/>
      <c r="G43" s="18"/>
      <c r="H43" s="18"/>
      <c r="I43" s="18"/>
      <c r="J43" s="18"/>
      <c r="K43" s="18"/>
      <c r="L43" s="18"/>
      <c r="M43" s="18"/>
      <c r="N43" s="18"/>
      <c r="O43" s="18"/>
    </row>
    <row r="45" spans="3:15" ht="18.95" customHeight="1" x14ac:dyDescent="0.2">
      <c r="D45" s="48" t="s">
        <v>12</v>
      </c>
      <c r="F45" s="49">
        <f>Details!D15</f>
        <v>1.8</v>
      </c>
    </row>
    <row r="50" spans="26:38" ht="18.95" customHeight="1" x14ac:dyDescent="0.2">
      <c r="Z50" s="1" t="s">
        <v>11</v>
      </c>
      <c r="AB50" s="50" t="s">
        <v>43</v>
      </c>
    </row>
    <row r="51" spans="26:38" ht="18.95" customHeight="1" x14ac:dyDescent="0.2">
      <c r="Z51" s="1" t="s">
        <v>13</v>
      </c>
      <c r="AB51" s="50" t="s">
        <v>45</v>
      </c>
      <c r="AH51" s="1" t="s">
        <v>369</v>
      </c>
    </row>
    <row r="52" spans="26:38" ht="18.95" customHeight="1" x14ac:dyDescent="0.2">
      <c r="Z52" s="1" t="s">
        <v>15</v>
      </c>
      <c r="AB52" s="50" t="s">
        <v>42</v>
      </c>
      <c r="AH52" s="1" t="s">
        <v>347</v>
      </c>
    </row>
    <row r="53" spans="26:38" ht="18.95" customHeight="1" x14ac:dyDescent="0.2">
      <c r="AB53" s="50" t="s">
        <v>2</v>
      </c>
      <c r="AH53" s="1" t="s">
        <v>370</v>
      </c>
    </row>
    <row r="54" spans="26:38" ht="18.95" customHeight="1" x14ac:dyDescent="0.2">
      <c r="AH54" s="1" t="s">
        <v>354</v>
      </c>
    </row>
    <row r="59" spans="26:38" ht="18.95" customHeight="1" x14ac:dyDescent="0.2">
      <c r="AC59" s="51">
        <v>0</v>
      </c>
    </row>
    <row r="60" spans="26:38" ht="18.95" customHeight="1" x14ac:dyDescent="0.2">
      <c r="AC60" s="52">
        <v>0.04</v>
      </c>
    </row>
    <row r="61" spans="26:38" ht="18.95" customHeight="1" x14ac:dyDescent="0.2">
      <c r="AC61" s="52">
        <v>0.05</v>
      </c>
      <c r="AI61" s="1" t="s">
        <v>2</v>
      </c>
    </row>
    <row r="62" spans="26:38" ht="18.95" customHeight="1" x14ac:dyDescent="0.2">
      <c r="AC62" s="52">
        <v>0.06</v>
      </c>
      <c r="AI62" s="1" t="s">
        <v>356</v>
      </c>
      <c r="AL62" s="1" t="s">
        <v>342</v>
      </c>
    </row>
    <row r="63" spans="26:38" ht="18.95" customHeight="1" x14ac:dyDescent="0.2">
      <c r="AC63" s="52">
        <v>7.0000000000000007E-2</v>
      </c>
      <c r="AI63" s="1" t="s">
        <v>357</v>
      </c>
      <c r="AL63" s="1" t="s">
        <v>343</v>
      </c>
    </row>
    <row r="64" spans="26:38" ht="18.95" customHeight="1" x14ac:dyDescent="0.2">
      <c r="AC64" s="52">
        <v>0.08</v>
      </c>
      <c r="AI64" s="1" t="s">
        <v>358</v>
      </c>
      <c r="AL64" s="1" t="s">
        <v>344</v>
      </c>
    </row>
    <row r="65" spans="27:38" ht="18.95" customHeight="1" x14ac:dyDescent="0.2">
      <c r="AI65" s="1" t="s">
        <v>359</v>
      </c>
      <c r="AL65" s="1" t="s">
        <v>345</v>
      </c>
    </row>
    <row r="66" spans="27:38" ht="18.95" customHeight="1" x14ac:dyDescent="0.2">
      <c r="AI66" s="1" t="s">
        <v>360</v>
      </c>
    </row>
    <row r="67" spans="27:38" ht="18.95" customHeight="1" x14ac:dyDescent="0.2">
      <c r="AI67" s="1" t="s">
        <v>346</v>
      </c>
    </row>
    <row r="68" spans="27:38" ht="18.95" customHeight="1" x14ac:dyDescent="0.2">
      <c r="AC68" s="1" t="s">
        <v>352</v>
      </c>
      <c r="AI68" s="1" t="s">
        <v>361</v>
      </c>
    </row>
    <row r="69" spans="27:38" ht="18.95" customHeight="1" x14ac:dyDescent="0.2">
      <c r="AC69" s="1" t="s">
        <v>2</v>
      </c>
      <c r="AE69" s="1">
        <v>3</v>
      </c>
      <c r="AI69" s="1" t="s">
        <v>362</v>
      </c>
    </row>
    <row r="70" spans="27:38" ht="18.95" customHeight="1" x14ac:dyDescent="0.2">
      <c r="AE70" s="1">
        <v>4</v>
      </c>
    </row>
    <row r="71" spans="27:38" ht="18.95" customHeight="1" x14ac:dyDescent="0.2">
      <c r="AC71" s="1" t="s">
        <v>50</v>
      </c>
      <c r="AE71" s="1">
        <v>5</v>
      </c>
    </row>
    <row r="72" spans="27:38" ht="18.95" customHeight="1" x14ac:dyDescent="0.2">
      <c r="AC72" s="1" t="s">
        <v>51</v>
      </c>
      <c r="AE72" s="1">
        <v>6</v>
      </c>
    </row>
    <row r="73" spans="27:38" ht="18.95" customHeight="1" x14ac:dyDescent="0.2">
      <c r="AC73" s="1" t="s">
        <v>2</v>
      </c>
      <c r="AE73" s="1">
        <v>7</v>
      </c>
    </row>
    <row r="74" spans="27:38" ht="18.95" customHeight="1" thickBot="1" x14ac:dyDescent="0.25">
      <c r="AE74" s="1">
        <v>8</v>
      </c>
      <c r="AJ74" s="54" t="s">
        <v>54</v>
      </c>
      <c r="AL74" s="54" t="s">
        <v>58</v>
      </c>
    </row>
    <row r="75" spans="27:38" ht="18.95" customHeight="1" thickTop="1" thickBot="1" x14ac:dyDescent="0.25">
      <c r="AJ75" s="59">
        <v>95</v>
      </c>
      <c r="AL75" s="59" t="s">
        <v>64</v>
      </c>
    </row>
    <row r="76" spans="27:38" ht="18.95" customHeight="1" thickTop="1" x14ac:dyDescent="0.2">
      <c r="AJ76" s="61" t="s">
        <v>67</v>
      </c>
      <c r="AL76" s="61" t="s">
        <v>66</v>
      </c>
    </row>
    <row r="77" spans="27:38" ht="18.95" customHeight="1" x14ac:dyDescent="0.2">
      <c r="AJ77" s="61" t="s">
        <v>74</v>
      </c>
      <c r="AL77" s="61" t="s">
        <v>76</v>
      </c>
    </row>
    <row r="78" spans="27:38" ht="18.95" customHeight="1" x14ac:dyDescent="0.2">
      <c r="AJ78" s="61" t="s">
        <v>79</v>
      </c>
      <c r="AL78" s="61" t="s">
        <v>73</v>
      </c>
    </row>
    <row r="79" spans="27:38" ht="18.95" customHeight="1" x14ac:dyDescent="0.2">
      <c r="AJ79" s="61" t="s">
        <v>81</v>
      </c>
      <c r="AL79" s="61" t="s">
        <v>87</v>
      </c>
    </row>
    <row r="80" spans="27:38" ht="18.95" customHeight="1" x14ac:dyDescent="0.2">
      <c r="AA80" s="1" t="s">
        <v>26</v>
      </c>
      <c r="AJ80" s="61" t="s">
        <v>69</v>
      </c>
      <c r="AL80" s="61" t="s">
        <v>82</v>
      </c>
    </row>
    <row r="81" spans="26:39" ht="18.95" customHeight="1" x14ac:dyDescent="0.2">
      <c r="AA81" s="1" t="s">
        <v>52</v>
      </c>
      <c r="AJ81" s="61" t="s">
        <v>66</v>
      </c>
      <c r="AL81" s="61" t="s">
        <v>96</v>
      </c>
    </row>
    <row r="82" spans="26:39" ht="18.95" customHeight="1" x14ac:dyDescent="0.2">
      <c r="AJ82" s="61" t="s">
        <v>102</v>
      </c>
      <c r="AL82" s="61" t="s">
        <v>104</v>
      </c>
    </row>
    <row r="83" spans="26:39" ht="18.95" customHeight="1" x14ac:dyDescent="0.2">
      <c r="AJ83" s="61" t="s">
        <v>105</v>
      </c>
      <c r="AL83" s="61" t="s">
        <v>106</v>
      </c>
    </row>
    <row r="84" spans="26:39" ht="18.95" customHeight="1" x14ac:dyDescent="0.2">
      <c r="AJ84" s="61" t="s">
        <v>76</v>
      </c>
      <c r="AL84" s="61" t="s">
        <v>109</v>
      </c>
    </row>
    <row r="85" spans="26:39" ht="18.95" customHeight="1" x14ac:dyDescent="0.2">
      <c r="AJ85" s="61" t="s">
        <v>110</v>
      </c>
      <c r="AL85" s="61" t="s">
        <v>74</v>
      </c>
    </row>
    <row r="86" spans="26:39" ht="18.95" customHeight="1" x14ac:dyDescent="0.2">
      <c r="AJ86" s="61" t="s">
        <v>113</v>
      </c>
      <c r="AL86" s="61" t="s">
        <v>115</v>
      </c>
    </row>
    <row r="87" spans="26:39" ht="18.95" customHeight="1" x14ac:dyDescent="0.2">
      <c r="AJ87" s="61" t="s">
        <v>115</v>
      </c>
      <c r="AL87" s="61" t="s">
        <v>116</v>
      </c>
    </row>
    <row r="88" spans="26:39" ht="18.95" customHeight="1" x14ac:dyDescent="0.2">
      <c r="AJ88" s="61" t="s">
        <v>117</v>
      </c>
      <c r="AL88" s="61" t="s">
        <v>118</v>
      </c>
    </row>
    <row r="89" spans="26:39" ht="18.95" customHeight="1" x14ac:dyDescent="0.2">
      <c r="AJ89" s="62"/>
    </row>
    <row r="90" spans="26:39" ht="18.95" customHeight="1" x14ac:dyDescent="0.2">
      <c r="AJ90" s="62"/>
    </row>
    <row r="91" spans="26:39" ht="18.95" customHeight="1" x14ac:dyDescent="0.2">
      <c r="AC91" s="1">
        <v>1</v>
      </c>
      <c r="AD91" s="1">
        <v>2</v>
      </c>
      <c r="AE91" s="1">
        <v>3</v>
      </c>
      <c r="AF91" s="1">
        <v>4</v>
      </c>
      <c r="AG91" s="1">
        <v>5</v>
      </c>
      <c r="AH91" s="1">
        <v>6</v>
      </c>
      <c r="AI91" s="1">
        <v>7</v>
      </c>
      <c r="AJ91" s="62" t="s">
        <v>264</v>
      </c>
      <c r="AK91" s="1">
        <v>9</v>
      </c>
      <c r="AL91" s="1">
        <v>10</v>
      </c>
      <c r="AM91" s="1">
        <v>11</v>
      </c>
    </row>
    <row r="92" spans="26:39" ht="18.95" customHeight="1" thickBot="1" x14ac:dyDescent="0.25">
      <c r="AB92" s="1">
        <v>1</v>
      </c>
      <c r="AC92" s="53" t="s">
        <v>61</v>
      </c>
      <c r="AD92" s="53" t="s">
        <v>246</v>
      </c>
      <c r="AE92" s="54" t="s">
        <v>245</v>
      </c>
      <c r="AF92" s="55" t="s">
        <v>62</v>
      </c>
      <c r="AG92" s="54" t="s">
        <v>54</v>
      </c>
      <c r="AH92" s="54" t="s">
        <v>253</v>
      </c>
      <c r="AI92" s="53" t="s">
        <v>255</v>
      </c>
      <c r="AJ92" s="53" t="s">
        <v>59</v>
      </c>
      <c r="AK92" s="53" t="s">
        <v>257</v>
      </c>
      <c r="AL92" s="53" t="s">
        <v>265</v>
      </c>
      <c r="AM92" s="55" t="s">
        <v>307</v>
      </c>
    </row>
    <row r="93" spans="26:39" ht="18.95" customHeight="1" thickTop="1" thickBot="1" x14ac:dyDescent="0.25">
      <c r="Z93" s="56" t="str">
        <f>AC92</f>
        <v>MONOTEC 370</v>
      </c>
      <c r="AA93" s="57" t="str">
        <f t="shared" ref="AA93:AA124" si="0">HLOOKUP($F$6,$AC$92:$AM$118,AB94,FALSE)</f>
        <v>BLACK</v>
      </c>
      <c r="AB93" s="1">
        <v>2</v>
      </c>
      <c r="AC93" s="58" t="s">
        <v>65</v>
      </c>
      <c r="AD93" s="58" t="s">
        <v>63</v>
      </c>
      <c r="AE93" s="59">
        <v>23</v>
      </c>
      <c r="AF93" s="58"/>
      <c r="AG93" s="59" t="s">
        <v>248</v>
      </c>
      <c r="AH93" s="59" t="s">
        <v>254</v>
      </c>
      <c r="AI93" s="58" t="s">
        <v>254</v>
      </c>
      <c r="AJ93" s="58" t="s">
        <v>254</v>
      </c>
      <c r="AK93" s="59"/>
      <c r="AL93" s="58"/>
      <c r="AM93" s="58"/>
    </row>
    <row r="94" spans="26:39" ht="18.95" customHeight="1" thickTop="1" x14ac:dyDescent="0.25">
      <c r="Z94" s="2" t="str">
        <f>AD92</f>
        <v>Z 16</v>
      </c>
      <c r="AA94" s="60" t="str">
        <f t="shared" si="0"/>
        <v>RAINFOREST</v>
      </c>
      <c r="AB94" s="1">
        <v>3</v>
      </c>
      <c r="AC94" s="62" t="s">
        <v>220</v>
      </c>
      <c r="AD94" s="61" t="s">
        <v>66</v>
      </c>
      <c r="AE94" s="61" t="s">
        <v>82</v>
      </c>
      <c r="AF94" s="63" t="s">
        <v>232</v>
      </c>
      <c r="AG94" s="61" t="s">
        <v>66</v>
      </c>
      <c r="AH94" s="61" t="s">
        <v>70</v>
      </c>
      <c r="AI94" s="62" t="s">
        <v>234</v>
      </c>
      <c r="AJ94" s="62" t="s">
        <v>70</v>
      </c>
      <c r="AK94" s="62" t="s">
        <v>82</v>
      </c>
      <c r="AL94" s="153" t="s">
        <v>266</v>
      </c>
      <c r="AM94" s="154" t="s">
        <v>308</v>
      </c>
    </row>
    <row r="95" spans="26:39" ht="18.95" customHeight="1" x14ac:dyDescent="0.2">
      <c r="Z95" s="2" t="str">
        <f>AE92</f>
        <v>EXTREME 32</v>
      </c>
      <c r="AA95" s="60" t="str">
        <f t="shared" si="0"/>
        <v>GUMLEAF</v>
      </c>
      <c r="AB95" s="1">
        <v>4</v>
      </c>
      <c r="AC95" s="62" t="s">
        <v>77</v>
      </c>
      <c r="AD95" s="61" t="s">
        <v>73</v>
      </c>
      <c r="AE95" s="61" t="s">
        <v>87</v>
      </c>
      <c r="AF95" s="63" t="s">
        <v>95</v>
      </c>
      <c r="AG95" s="61" t="s">
        <v>82</v>
      </c>
      <c r="AH95" s="61" t="s">
        <v>239</v>
      </c>
      <c r="AI95" s="62" t="s">
        <v>235</v>
      </c>
      <c r="AJ95" s="62" t="s">
        <v>239</v>
      </c>
      <c r="AK95" s="62" t="s">
        <v>259</v>
      </c>
      <c r="AL95" s="154" t="s">
        <v>267</v>
      </c>
      <c r="AM95" s="154" t="s">
        <v>311</v>
      </c>
    </row>
    <row r="96" spans="26:39" ht="18.95" customHeight="1" x14ac:dyDescent="0.2">
      <c r="Z96" s="2" t="str">
        <f>AF92</f>
        <v>ABSHADE</v>
      </c>
      <c r="AA96" s="60" t="str">
        <f t="shared" si="0"/>
        <v>DESERT SAND</v>
      </c>
      <c r="AB96" s="1">
        <v>5</v>
      </c>
      <c r="AC96" s="62" t="s">
        <v>99</v>
      </c>
      <c r="AD96" s="61" t="s">
        <v>78</v>
      </c>
      <c r="AE96" s="61" t="s">
        <v>76</v>
      </c>
      <c r="AF96" s="63" t="s">
        <v>100</v>
      </c>
      <c r="AG96" s="61" t="s">
        <v>249</v>
      </c>
      <c r="AH96" s="61" t="s">
        <v>84</v>
      </c>
      <c r="AI96" s="62" t="s">
        <v>236</v>
      </c>
      <c r="AJ96" s="62" t="s">
        <v>240</v>
      </c>
      <c r="AK96" s="62" t="s">
        <v>258</v>
      </c>
      <c r="AL96" s="154" t="s">
        <v>268</v>
      </c>
      <c r="AM96" s="154" t="s">
        <v>309</v>
      </c>
    </row>
    <row r="97" spans="26:39" ht="18.95" customHeight="1" x14ac:dyDescent="0.2">
      <c r="Z97" s="2" t="str">
        <f>AG92</f>
        <v>COMMERCIAL 95</v>
      </c>
      <c r="AA97" s="60" t="str">
        <f t="shared" si="0"/>
        <v>SILVER GREY</v>
      </c>
      <c r="AB97" s="1">
        <v>6</v>
      </c>
      <c r="AC97" s="62" t="s">
        <v>221</v>
      </c>
      <c r="AD97" s="61" t="s">
        <v>76</v>
      </c>
      <c r="AE97" s="61" t="s">
        <v>66</v>
      </c>
      <c r="AF97" s="63" t="s">
        <v>115</v>
      </c>
      <c r="AG97" s="61" t="s">
        <v>110</v>
      </c>
      <c r="AH97" s="61" t="s">
        <v>74</v>
      </c>
      <c r="AI97" s="62" t="s">
        <v>237</v>
      </c>
      <c r="AJ97" s="62" t="s">
        <v>88</v>
      </c>
      <c r="AK97" s="62" t="s">
        <v>76</v>
      </c>
      <c r="AL97" s="154" t="s">
        <v>269</v>
      </c>
      <c r="AM97" s="154" t="s">
        <v>310</v>
      </c>
    </row>
    <row r="98" spans="26:39" ht="18.95" customHeight="1" x14ac:dyDescent="0.2">
      <c r="Z98" s="2" t="str">
        <f>AH92</f>
        <v>ARCHITECT 400</v>
      </c>
      <c r="AA98" s="60" t="str">
        <f t="shared" si="0"/>
        <v>ROYAL BLUE</v>
      </c>
      <c r="AB98" s="1">
        <v>7</v>
      </c>
      <c r="AC98" s="62" t="s">
        <v>222</v>
      </c>
      <c r="AD98" s="61" t="s">
        <v>87</v>
      </c>
      <c r="AE98" s="61" t="s">
        <v>247</v>
      </c>
      <c r="AF98" s="63" t="s">
        <v>72</v>
      </c>
      <c r="AG98" s="61" t="s">
        <v>250</v>
      </c>
      <c r="AH98" s="61" t="s">
        <v>256</v>
      </c>
      <c r="AI98" s="62" t="s">
        <v>238</v>
      </c>
      <c r="AJ98" s="62" t="s">
        <v>241</v>
      </c>
      <c r="AK98" s="62" t="s">
        <v>260</v>
      </c>
      <c r="AL98" s="154" t="s">
        <v>270</v>
      </c>
      <c r="AM98" s="154" t="s">
        <v>312</v>
      </c>
    </row>
    <row r="99" spans="26:39" ht="18.95" customHeight="1" x14ac:dyDescent="0.2">
      <c r="Z99" s="2" t="str">
        <f>AI92</f>
        <v>POLY-FX</v>
      </c>
      <c r="AA99" s="60" t="str">
        <f t="shared" si="0"/>
        <v>SUNSET RED</v>
      </c>
      <c r="AB99" s="1">
        <v>8</v>
      </c>
      <c r="AC99" s="62" t="s">
        <v>223</v>
      </c>
      <c r="AD99" s="61" t="s">
        <v>96</v>
      </c>
      <c r="AE99" s="61" t="s">
        <v>73</v>
      </c>
      <c r="AF99" s="63" t="s">
        <v>66</v>
      </c>
      <c r="AG99" s="61" t="s">
        <v>117</v>
      </c>
      <c r="AH99" s="61" t="s">
        <v>89</v>
      </c>
      <c r="AI99" s="62" t="s">
        <v>70</v>
      </c>
      <c r="AJ99" s="62" t="s">
        <v>71</v>
      </c>
      <c r="AK99" s="62" t="s">
        <v>261</v>
      </c>
      <c r="AL99" s="154" t="s">
        <v>271</v>
      </c>
      <c r="AM99" s="154" t="s">
        <v>313</v>
      </c>
    </row>
    <row r="100" spans="26:39" ht="18.95" customHeight="1" x14ac:dyDescent="0.2">
      <c r="Z100" s="2" t="str">
        <f>AJ92</f>
        <v>COMSHADE</v>
      </c>
      <c r="AA100" s="60" t="str">
        <f t="shared" si="0"/>
        <v>CHAMPAGNE</v>
      </c>
      <c r="AB100" s="1">
        <v>9</v>
      </c>
      <c r="AC100" s="62" t="s">
        <v>224</v>
      </c>
      <c r="AD100" s="61" t="s">
        <v>101</v>
      </c>
      <c r="AE100" s="61" t="s">
        <v>96</v>
      </c>
      <c r="AF100" s="63" t="s">
        <v>119</v>
      </c>
      <c r="AG100" s="61" t="s">
        <v>81</v>
      </c>
      <c r="AH100" s="61" t="s">
        <v>238</v>
      </c>
      <c r="AI100" s="62" t="s">
        <v>239</v>
      </c>
      <c r="AJ100" s="62" t="s">
        <v>83</v>
      </c>
      <c r="AK100" s="62" t="s">
        <v>262</v>
      </c>
      <c r="AL100" s="154" t="s">
        <v>272</v>
      </c>
      <c r="AM100" s="154" t="s">
        <v>314</v>
      </c>
    </row>
    <row r="101" spans="26:39" ht="18.95" customHeight="1" x14ac:dyDescent="0.2">
      <c r="Z101" s="2" t="str">
        <f>AK92</f>
        <v>DRI Z</v>
      </c>
      <c r="AA101" s="60" t="str">
        <f t="shared" si="0"/>
        <v>MEADOW GREEN</v>
      </c>
      <c r="AB101" s="1">
        <v>10</v>
      </c>
      <c r="AC101" s="62" t="s">
        <v>225</v>
      </c>
      <c r="AD101" s="61" t="s">
        <v>104</v>
      </c>
      <c r="AE101" s="61" t="s">
        <v>95</v>
      </c>
      <c r="AF101" s="63" t="s">
        <v>74</v>
      </c>
      <c r="AG101" s="61" t="s">
        <v>76</v>
      </c>
      <c r="AH101" s="61" t="s">
        <v>237</v>
      </c>
      <c r="AI101" s="62" t="s">
        <v>241</v>
      </c>
      <c r="AJ101" s="62" t="s">
        <v>242</v>
      </c>
      <c r="AK101" s="62" t="s">
        <v>116</v>
      </c>
      <c r="AL101" s="154" t="s">
        <v>273</v>
      </c>
      <c r="AM101" s="154" t="s">
        <v>315</v>
      </c>
    </row>
    <row r="102" spans="26:39" ht="18.95" customHeight="1" x14ac:dyDescent="0.25">
      <c r="Z102" s="2" t="str">
        <f>AL92</f>
        <v>FARRARI 502-802</v>
      </c>
      <c r="AA102" s="60" t="str">
        <f t="shared" si="0"/>
        <v>LAGUNA BLUE</v>
      </c>
      <c r="AB102" s="1">
        <v>11</v>
      </c>
      <c r="AC102" s="62" t="s">
        <v>226</v>
      </c>
      <c r="AD102" s="61" t="s">
        <v>107</v>
      </c>
      <c r="AE102" s="61"/>
      <c r="AF102" s="63" t="s">
        <v>233</v>
      </c>
      <c r="AG102" s="61" t="s">
        <v>74</v>
      </c>
      <c r="AH102" s="61" t="s">
        <v>236</v>
      </c>
      <c r="AI102" s="62" t="s">
        <v>71</v>
      </c>
      <c r="AJ102" s="62" t="s">
        <v>243</v>
      </c>
      <c r="AK102" s="62" t="s">
        <v>73</v>
      </c>
      <c r="AL102" s="155" t="s">
        <v>274</v>
      </c>
      <c r="AM102" s="154" t="s">
        <v>316</v>
      </c>
    </row>
    <row r="103" spans="26:39" ht="18.95" customHeight="1" thickBot="1" x14ac:dyDescent="0.3">
      <c r="Z103" s="64" t="str">
        <f>AM92</f>
        <v>NAYZL-PS 680</v>
      </c>
      <c r="AA103" s="60" t="str">
        <f t="shared" si="0"/>
        <v>NAVY BLUE</v>
      </c>
      <c r="AB103" s="1">
        <v>12</v>
      </c>
      <c r="AC103" s="62" t="s">
        <v>227</v>
      </c>
      <c r="AD103" s="61" t="s">
        <v>109</v>
      </c>
      <c r="AE103" s="61"/>
      <c r="AF103" s="63" t="s">
        <v>82</v>
      </c>
      <c r="AG103" s="61" t="s">
        <v>251</v>
      </c>
      <c r="AH103" s="61" t="s">
        <v>234</v>
      </c>
      <c r="AI103" s="62" t="s">
        <v>83</v>
      </c>
      <c r="AJ103" s="62" t="s">
        <v>79</v>
      </c>
      <c r="AK103" s="62" t="s">
        <v>115</v>
      </c>
      <c r="AL103" s="155" t="s">
        <v>275</v>
      </c>
      <c r="AM103" s="154" t="s">
        <v>317</v>
      </c>
    </row>
    <row r="104" spans="26:39" ht="18.95" customHeight="1" thickBot="1" x14ac:dyDescent="0.3">
      <c r="Z104" s="64"/>
      <c r="AA104" s="60" t="str">
        <f t="shared" si="0"/>
        <v>TURQUOISE</v>
      </c>
      <c r="AB104" s="1">
        <v>13</v>
      </c>
      <c r="AC104" s="62" t="s">
        <v>228</v>
      </c>
      <c r="AD104" s="61" t="s">
        <v>74</v>
      </c>
      <c r="AE104" s="61"/>
      <c r="AF104" s="63" t="s">
        <v>71</v>
      </c>
      <c r="AG104" s="61" t="s">
        <v>102</v>
      </c>
      <c r="AH104" s="61" t="s">
        <v>235</v>
      </c>
      <c r="AI104" s="62" t="s">
        <v>242</v>
      </c>
      <c r="AJ104" s="62" t="s">
        <v>84</v>
      </c>
      <c r="AK104" s="62" t="s">
        <v>263</v>
      </c>
      <c r="AL104" s="155" t="s">
        <v>276</v>
      </c>
      <c r="AM104" s="154" t="s">
        <v>318</v>
      </c>
    </row>
    <row r="105" spans="26:39" ht="18.95" customHeight="1" x14ac:dyDescent="0.25">
      <c r="AA105" s="60" t="str">
        <f t="shared" si="0"/>
        <v>RUST GOLD</v>
      </c>
      <c r="AB105" s="1">
        <v>14</v>
      </c>
      <c r="AC105" s="62" t="s">
        <v>229</v>
      </c>
      <c r="AD105" s="61" t="s">
        <v>115</v>
      </c>
      <c r="AE105" s="61"/>
      <c r="AF105" s="63"/>
      <c r="AG105" s="62" t="s">
        <v>252</v>
      </c>
      <c r="AH105" s="61" t="s">
        <v>66</v>
      </c>
      <c r="AI105" s="62" t="s">
        <v>243</v>
      </c>
      <c r="AJ105" s="62" t="s">
        <v>74</v>
      </c>
      <c r="AK105" s="62" t="s">
        <v>74</v>
      </c>
      <c r="AL105" s="155" t="s">
        <v>277</v>
      </c>
      <c r="AM105" s="155" t="s">
        <v>319</v>
      </c>
    </row>
    <row r="106" spans="26:39" ht="18.95" customHeight="1" x14ac:dyDescent="0.25">
      <c r="AA106" s="60" t="str">
        <f t="shared" si="0"/>
        <v>MIST GREEN</v>
      </c>
      <c r="AB106" s="1">
        <v>15</v>
      </c>
      <c r="AC106" s="62" t="s">
        <v>230</v>
      </c>
      <c r="AD106" s="61" t="s">
        <v>116</v>
      </c>
      <c r="AE106" s="61"/>
      <c r="AF106" s="63"/>
      <c r="AG106" s="62" t="s">
        <v>69</v>
      </c>
      <c r="AH106" s="61"/>
      <c r="AI106" s="62" t="s">
        <v>84</v>
      </c>
      <c r="AJ106" s="62" t="s">
        <v>66</v>
      </c>
      <c r="AK106" s="62" t="s">
        <v>109</v>
      </c>
      <c r="AL106" s="155" t="s">
        <v>278</v>
      </c>
      <c r="AM106" s="154" t="s">
        <v>320</v>
      </c>
    </row>
    <row r="107" spans="26:39" ht="18.95" customHeight="1" x14ac:dyDescent="0.25">
      <c r="AA107" s="60" t="str">
        <f t="shared" si="0"/>
        <v>TERRACOTTA</v>
      </c>
      <c r="AB107" s="1">
        <v>16</v>
      </c>
      <c r="AC107" s="62" t="s">
        <v>231</v>
      </c>
      <c r="AD107" s="61" t="s">
        <v>118</v>
      </c>
      <c r="AE107" s="62"/>
      <c r="AF107" s="62"/>
      <c r="AG107" s="62" t="s">
        <v>67</v>
      </c>
      <c r="AH107" s="61"/>
      <c r="AI107" s="62" t="s">
        <v>74</v>
      </c>
      <c r="AJ107" s="62" t="s">
        <v>112</v>
      </c>
      <c r="AK107" s="62" t="s">
        <v>96</v>
      </c>
      <c r="AL107" s="155" t="s">
        <v>279</v>
      </c>
      <c r="AM107" s="154" t="s">
        <v>321</v>
      </c>
    </row>
    <row r="108" spans="26:39" ht="18.95" customHeight="1" x14ac:dyDescent="0.25">
      <c r="AA108" s="60" t="str">
        <f t="shared" si="0"/>
        <v>SUNFLOWER YELLOW</v>
      </c>
      <c r="AB108" s="1">
        <v>17</v>
      </c>
      <c r="AC108" s="61"/>
      <c r="AD108" s="61" t="s">
        <v>95</v>
      </c>
      <c r="AE108" s="62"/>
      <c r="AF108" s="62"/>
      <c r="AG108" s="62" t="s">
        <v>115</v>
      </c>
      <c r="AH108" s="62"/>
      <c r="AI108" s="62" t="s">
        <v>66</v>
      </c>
      <c r="AJ108" s="62" t="s">
        <v>94</v>
      </c>
      <c r="AK108" s="62" t="s">
        <v>95</v>
      </c>
      <c r="AL108" s="155" t="s">
        <v>280</v>
      </c>
      <c r="AM108" s="154" t="s">
        <v>322</v>
      </c>
    </row>
    <row r="109" spans="26:39" ht="18.95" customHeight="1" x14ac:dyDescent="0.25">
      <c r="AA109" s="60" t="str">
        <f t="shared" si="0"/>
        <v>ICE WHITE</v>
      </c>
      <c r="AB109" s="1">
        <v>18</v>
      </c>
      <c r="AC109" s="61"/>
      <c r="AD109" s="61" t="s">
        <v>120</v>
      </c>
      <c r="AE109" s="62"/>
      <c r="AF109" s="62"/>
      <c r="AG109" s="62" t="s">
        <v>79</v>
      </c>
      <c r="AH109" s="62"/>
      <c r="AI109" s="62" t="s">
        <v>112</v>
      </c>
      <c r="AJ109" s="62" t="s">
        <v>244</v>
      </c>
      <c r="AK109" s="62" t="s">
        <v>101</v>
      </c>
      <c r="AL109" s="155" t="s">
        <v>281</v>
      </c>
      <c r="AM109" s="154" t="s">
        <v>323</v>
      </c>
    </row>
    <row r="110" spans="26:39" ht="18.95" customHeight="1" x14ac:dyDescent="0.25">
      <c r="AA110" s="60" t="str">
        <f t="shared" si="0"/>
        <v>MULBERRY</v>
      </c>
      <c r="AB110" s="1">
        <v>19</v>
      </c>
      <c r="AC110" s="61"/>
      <c r="AD110" s="61" t="s">
        <v>121</v>
      </c>
      <c r="AE110" s="62"/>
      <c r="AF110" s="62"/>
      <c r="AG110" s="62"/>
      <c r="AH110" s="62"/>
      <c r="AI110" s="62" t="s">
        <v>94</v>
      </c>
      <c r="AJ110" s="62" t="s">
        <v>89</v>
      </c>
      <c r="AK110" s="62"/>
      <c r="AL110" s="155" t="s">
        <v>282</v>
      </c>
      <c r="AM110" s="154" t="s">
        <v>324</v>
      </c>
    </row>
    <row r="111" spans="26:39" ht="18.95" customHeight="1" x14ac:dyDescent="0.25">
      <c r="AA111" s="60" t="str">
        <f t="shared" si="0"/>
        <v>CHARCOAL</v>
      </c>
      <c r="AB111" s="1">
        <v>20</v>
      </c>
      <c r="AC111" s="61"/>
      <c r="AD111" s="61" t="s">
        <v>106</v>
      </c>
      <c r="AE111" s="62"/>
      <c r="AF111" s="62"/>
      <c r="AG111" s="62"/>
      <c r="AH111" s="62"/>
      <c r="AI111" s="62" t="s">
        <v>244</v>
      </c>
      <c r="AJ111" s="62"/>
      <c r="AK111" s="62"/>
      <c r="AL111" s="155" t="s">
        <v>283</v>
      </c>
      <c r="AM111" s="154" t="s">
        <v>325</v>
      </c>
    </row>
    <row r="112" spans="26:39" ht="18.95" customHeight="1" x14ac:dyDescent="0.25">
      <c r="AA112" s="60">
        <f t="shared" si="0"/>
        <v>0</v>
      </c>
      <c r="AB112" s="1">
        <v>21</v>
      </c>
      <c r="AC112" s="61"/>
      <c r="AD112" s="61" t="s">
        <v>82</v>
      </c>
      <c r="AE112" s="62"/>
      <c r="AF112" s="62"/>
      <c r="AG112" s="62"/>
      <c r="AH112" s="62"/>
      <c r="AI112" s="62" t="s">
        <v>119</v>
      </c>
      <c r="AJ112" s="62"/>
      <c r="AK112" s="62"/>
      <c r="AL112" s="155" t="s">
        <v>284</v>
      </c>
      <c r="AM112" s="154" t="s">
        <v>326</v>
      </c>
    </row>
    <row r="113" spans="27:39" ht="18.95" customHeight="1" x14ac:dyDescent="0.25">
      <c r="AA113" s="60">
        <f t="shared" si="0"/>
        <v>0</v>
      </c>
      <c r="AB113" s="1">
        <v>22</v>
      </c>
      <c r="AC113" s="62"/>
      <c r="AD113" s="62"/>
      <c r="AE113" s="62"/>
      <c r="AF113" s="62"/>
      <c r="AG113" s="62"/>
      <c r="AH113" s="62"/>
      <c r="AI113" s="62" t="s">
        <v>89</v>
      </c>
      <c r="AJ113" s="62"/>
      <c r="AK113" s="62"/>
      <c r="AL113" s="155" t="s">
        <v>285</v>
      </c>
      <c r="AM113" s="155" t="s">
        <v>327</v>
      </c>
    </row>
    <row r="114" spans="27:39" ht="18.95" customHeight="1" x14ac:dyDescent="0.25">
      <c r="AA114" s="60">
        <f t="shared" si="0"/>
        <v>0</v>
      </c>
      <c r="AB114" s="1">
        <v>23</v>
      </c>
      <c r="AC114" s="62"/>
      <c r="AD114" s="62"/>
      <c r="AE114" s="62"/>
      <c r="AF114" s="62"/>
      <c r="AG114" s="62"/>
      <c r="AH114" s="62"/>
      <c r="AI114" s="62"/>
      <c r="AJ114" s="62"/>
      <c r="AK114" s="62"/>
      <c r="AL114" s="155" t="s">
        <v>286</v>
      </c>
      <c r="AM114" s="155" t="s">
        <v>328</v>
      </c>
    </row>
    <row r="115" spans="27:39" ht="18.95" customHeight="1" x14ac:dyDescent="0.25">
      <c r="AA115" s="60">
        <f t="shared" si="0"/>
        <v>0</v>
      </c>
      <c r="AB115" s="1">
        <v>24</v>
      </c>
      <c r="AC115" s="62"/>
      <c r="AD115" s="62"/>
      <c r="AE115" s="62"/>
      <c r="AF115" s="62"/>
      <c r="AG115" s="62"/>
      <c r="AH115" s="62"/>
      <c r="AI115" s="62"/>
      <c r="AJ115" s="62"/>
      <c r="AK115" s="62"/>
      <c r="AL115" s="155" t="s">
        <v>287</v>
      </c>
      <c r="AM115" s="155" t="s">
        <v>329</v>
      </c>
    </row>
    <row r="116" spans="27:39" ht="18.95" customHeight="1" x14ac:dyDescent="0.25">
      <c r="AA116" s="60">
        <f t="shared" si="0"/>
        <v>0</v>
      </c>
      <c r="AB116" s="1">
        <v>25</v>
      </c>
      <c r="AC116" s="62"/>
      <c r="AD116" s="62"/>
      <c r="AE116" s="62"/>
      <c r="AF116" s="62"/>
      <c r="AG116" s="62"/>
      <c r="AH116" s="62"/>
      <c r="AI116" s="62"/>
      <c r="AJ116" s="62"/>
      <c r="AK116" s="62"/>
      <c r="AL116" s="155" t="s">
        <v>288</v>
      </c>
      <c r="AM116" s="155" t="s">
        <v>330</v>
      </c>
    </row>
    <row r="117" spans="27:39" ht="18.95" customHeight="1" thickBot="1" x14ac:dyDescent="0.3">
      <c r="AA117" s="65">
        <f t="shared" si="0"/>
        <v>0</v>
      </c>
      <c r="AB117" s="1">
        <v>26</v>
      </c>
      <c r="AC117" s="62"/>
      <c r="AD117" s="62"/>
      <c r="AE117" s="62"/>
      <c r="AF117" s="62"/>
      <c r="AG117" s="62"/>
      <c r="AH117" s="62"/>
      <c r="AI117" s="62"/>
      <c r="AJ117" s="62"/>
      <c r="AK117" s="62"/>
      <c r="AL117" s="155" t="s">
        <v>289</v>
      </c>
      <c r="AM117" s="155" t="s">
        <v>331</v>
      </c>
    </row>
    <row r="118" spans="27:39" ht="18.95" customHeight="1" thickBot="1" x14ac:dyDescent="0.3">
      <c r="AA118" s="65" t="e" vm="1">
        <f t="shared" si="0"/>
        <v>#VALUE!</v>
      </c>
      <c r="AB118" s="1">
        <v>27</v>
      </c>
      <c r="AC118" s="66"/>
      <c r="AD118" s="66"/>
      <c r="AE118" s="66"/>
      <c r="AF118" s="66"/>
      <c r="AG118" s="66"/>
      <c r="AH118" s="66"/>
      <c r="AI118" s="66"/>
      <c r="AJ118" s="66"/>
      <c r="AK118" s="66"/>
      <c r="AL118" s="155" t="s">
        <v>290</v>
      </c>
      <c r="AM118" s="155" t="s">
        <v>332</v>
      </c>
    </row>
    <row r="119" spans="27:39" ht="18.95" customHeight="1" thickBot="1" x14ac:dyDescent="0.3">
      <c r="AA119" s="65" t="e" vm="1">
        <f t="shared" si="0"/>
        <v>#VALUE!</v>
      </c>
      <c r="AL119" s="155" t="s">
        <v>291</v>
      </c>
      <c r="AM119" s="155" t="s">
        <v>333</v>
      </c>
    </row>
    <row r="120" spans="27:39" ht="18.95" customHeight="1" thickBot="1" x14ac:dyDescent="0.3">
      <c r="AA120" s="65" t="e" vm="1">
        <f t="shared" si="0"/>
        <v>#VALUE!</v>
      </c>
      <c r="AL120" s="155" t="s">
        <v>292</v>
      </c>
      <c r="AM120" s="155" t="s">
        <v>334</v>
      </c>
    </row>
    <row r="121" spans="27:39" ht="18.95" customHeight="1" thickBot="1" x14ac:dyDescent="0.3">
      <c r="AA121" s="65" t="e" vm="1">
        <f t="shared" si="0"/>
        <v>#VALUE!</v>
      </c>
      <c r="AL121" s="155" t="s">
        <v>293</v>
      </c>
      <c r="AM121" s="155" t="s">
        <v>335</v>
      </c>
    </row>
    <row r="122" spans="27:39" ht="18.95" customHeight="1" thickBot="1" x14ac:dyDescent="0.3">
      <c r="AA122" s="65" t="e" vm="1">
        <f t="shared" si="0"/>
        <v>#VALUE!</v>
      </c>
      <c r="AL122" s="155" t="s">
        <v>294</v>
      </c>
      <c r="AM122" s="155" t="s">
        <v>336</v>
      </c>
    </row>
    <row r="123" spans="27:39" ht="18.95" customHeight="1" thickBot="1" x14ac:dyDescent="0.3">
      <c r="AA123" s="65" t="e" vm="1">
        <f t="shared" si="0"/>
        <v>#VALUE!</v>
      </c>
      <c r="AL123" s="155" t="s">
        <v>295</v>
      </c>
      <c r="AM123" s="155" t="s">
        <v>337</v>
      </c>
    </row>
    <row r="124" spans="27:39" ht="18.95" customHeight="1" thickBot="1" x14ac:dyDescent="0.3">
      <c r="AA124" s="65" t="e" vm="1">
        <f t="shared" si="0"/>
        <v>#VALUE!</v>
      </c>
      <c r="AL124" s="155" t="s">
        <v>296</v>
      </c>
      <c r="AM124" s="155" t="s">
        <v>338</v>
      </c>
    </row>
    <row r="125" spans="27:39" ht="18.95" customHeight="1" thickBot="1" x14ac:dyDescent="0.3">
      <c r="AA125" s="65" t="e" vm="1">
        <f t="shared" ref="AA125:AA156" si="1">HLOOKUP($F$6,$AC$92:$AM$118,AB126,FALSE)</f>
        <v>#VALUE!</v>
      </c>
      <c r="AL125" s="155" t="s">
        <v>297</v>
      </c>
      <c r="AM125" s="155" t="s">
        <v>339</v>
      </c>
    </row>
    <row r="126" spans="27:39" ht="18.95" customHeight="1" thickBot="1" x14ac:dyDescent="0.3">
      <c r="AA126" s="65" t="e" vm="1">
        <f t="shared" si="1"/>
        <v>#VALUE!</v>
      </c>
      <c r="AL126" s="155" t="s">
        <v>298</v>
      </c>
      <c r="AM126" s="155" t="s">
        <v>340</v>
      </c>
    </row>
    <row r="127" spans="27:39" ht="18.95" customHeight="1" thickBot="1" x14ac:dyDescent="0.3">
      <c r="AA127" s="65" t="e" vm="1">
        <f t="shared" si="1"/>
        <v>#VALUE!</v>
      </c>
      <c r="AL127" s="155" t="s">
        <v>299</v>
      </c>
      <c r="AM127" s="155" t="s">
        <v>341</v>
      </c>
    </row>
    <row r="128" spans="27:39" ht="18.95" customHeight="1" thickBot="1" x14ac:dyDescent="0.3">
      <c r="AA128" s="65" t="e" vm="1">
        <f t="shared" si="1"/>
        <v>#VALUE!</v>
      </c>
      <c r="AL128" s="155" t="s">
        <v>300</v>
      </c>
    </row>
    <row r="129" spans="27:38" ht="18.95" customHeight="1" thickBot="1" x14ac:dyDescent="0.3">
      <c r="AA129" s="65" t="e" vm="1">
        <f t="shared" si="1"/>
        <v>#VALUE!</v>
      </c>
      <c r="AL129" s="155" t="s">
        <v>301</v>
      </c>
    </row>
    <row r="130" spans="27:38" ht="18.95" customHeight="1" thickBot="1" x14ac:dyDescent="0.3">
      <c r="AA130" s="65" t="e" vm="1">
        <f t="shared" si="1"/>
        <v>#VALUE!</v>
      </c>
      <c r="AL130" s="155" t="s">
        <v>302</v>
      </c>
    </row>
    <row r="131" spans="27:38" ht="18.95" customHeight="1" thickBot="1" x14ac:dyDescent="0.3">
      <c r="AA131" s="65" t="e" vm="1">
        <f t="shared" si="1"/>
        <v>#VALUE!</v>
      </c>
      <c r="AL131" s="155" t="s">
        <v>303</v>
      </c>
    </row>
    <row r="132" spans="27:38" ht="18.95" customHeight="1" thickBot="1" x14ac:dyDescent="0.3">
      <c r="AA132" s="65" t="e" vm="1">
        <f t="shared" si="1"/>
        <v>#VALUE!</v>
      </c>
      <c r="AL132" s="155" t="s">
        <v>304</v>
      </c>
    </row>
    <row r="133" spans="27:38" ht="18.95" customHeight="1" thickBot="1" x14ac:dyDescent="0.3">
      <c r="AA133" s="65" t="e" vm="1">
        <f t="shared" si="1"/>
        <v>#VALUE!</v>
      </c>
      <c r="AL133" s="155" t="s">
        <v>305</v>
      </c>
    </row>
    <row r="134" spans="27:38" ht="18.95" customHeight="1" thickBot="1" x14ac:dyDescent="0.3">
      <c r="AA134" s="65" t="e" vm="1">
        <f t="shared" si="1"/>
        <v>#VALUE!</v>
      </c>
      <c r="AL134" s="155" t="s">
        <v>306</v>
      </c>
    </row>
    <row r="135" spans="27:38" ht="18.95" customHeight="1" thickBot="1" x14ac:dyDescent="0.25">
      <c r="AA135" s="65" t="e" vm="1">
        <f t="shared" si="1"/>
        <v>#VALUE!</v>
      </c>
    </row>
    <row r="136" spans="27:38" ht="18.95" customHeight="1" thickBot="1" x14ac:dyDescent="0.25">
      <c r="AA136" s="65" t="e" vm="1">
        <f t="shared" si="1"/>
        <v>#VALUE!</v>
      </c>
    </row>
    <row r="137" spans="27:38" ht="18.95" customHeight="1" thickBot="1" x14ac:dyDescent="0.25">
      <c r="AA137" s="65" t="e" vm="1">
        <f t="shared" si="1"/>
        <v>#VALUE!</v>
      </c>
    </row>
    <row r="138" spans="27:38" ht="18.95" customHeight="1" thickBot="1" x14ac:dyDescent="0.25">
      <c r="AA138" s="65" t="e" vm="1">
        <f t="shared" si="1"/>
        <v>#VALUE!</v>
      </c>
    </row>
    <row r="139" spans="27:38" ht="18.95" customHeight="1" thickBot="1" x14ac:dyDescent="0.25">
      <c r="AA139" s="65" t="e" vm="1">
        <f t="shared" si="1"/>
        <v>#VALUE!</v>
      </c>
    </row>
    <row r="140" spans="27:38" ht="18.95" customHeight="1" thickBot="1" x14ac:dyDescent="0.25">
      <c r="AA140" s="65" t="e" vm="1">
        <f t="shared" si="1"/>
        <v>#VALUE!</v>
      </c>
    </row>
    <row r="141" spans="27:38" ht="18.95" customHeight="1" thickBot="1" x14ac:dyDescent="0.25">
      <c r="AA141" s="65" t="e" vm="1">
        <f t="shared" si="1"/>
        <v>#VALUE!</v>
      </c>
    </row>
    <row r="142" spans="27:38" ht="18.95" customHeight="1" thickBot="1" x14ac:dyDescent="0.25">
      <c r="AA142" s="65" t="e" vm="1">
        <f t="shared" si="1"/>
        <v>#VALUE!</v>
      </c>
    </row>
    <row r="143" spans="27:38" ht="18.95" customHeight="1" thickBot="1" x14ac:dyDescent="0.25">
      <c r="AA143" s="65" t="e" vm="1">
        <f t="shared" si="1"/>
        <v>#VALUE!</v>
      </c>
    </row>
    <row r="144" spans="27:38" ht="18.95" customHeight="1" thickBot="1" x14ac:dyDescent="0.25">
      <c r="AA144" s="65" t="e" vm="1">
        <f t="shared" si="1"/>
        <v>#VALUE!</v>
      </c>
    </row>
    <row r="145" spans="27:27" ht="18.95" customHeight="1" thickBot="1" x14ac:dyDescent="0.25">
      <c r="AA145" s="65" t="e" vm="1">
        <f t="shared" si="1"/>
        <v>#VALUE!</v>
      </c>
    </row>
    <row r="146" spans="27:27" ht="18.95" customHeight="1" thickBot="1" x14ac:dyDescent="0.25">
      <c r="AA146" s="65" t="e" vm="1">
        <f t="shared" si="1"/>
        <v>#VALUE!</v>
      </c>
    </row>
    <row r="147" spans="27:27" ht="18.95" customHeight="1" thickBot="1" x14ac:dyDescent="0.25">
      <c r="AA147" s="65" t="e" vm="1">
        <f t="shared" si="1"/>
        <v>#VALUE!</v>
      </c>
    </row>
    <row r="148" spans="27:27" ht="18.95" customHeight="1" thickBot="1" x14ac:dyDescent="0.25">
      <c r="AA148" s="65" t="e" vm="1">
        <f t="shared" si="1"/>
        <v>#VALUE!</v>
      </c>
    </row>
    <row r="149" spans="27:27" ht="18.95" customHeight="1" thickBot="1" x14ac:dyDescent="0.25">
      <c r="AA149" s="65" t="e" vm="1">
        <f t="shared" si="1"/>
        <v>#VALUE!</v>
      </c>
    </row>
    <row r="150" spans="27:27" ht="18.95" customHeight="1" thickBot="1" x14ac:dyDescent="0.25">
      <c r="AA150" s="65" t="e" vm="1">
        <f t="shared" si="1"/>
        <v>#VALUE!</v>
      </c>
    </row>
    <row r="151" spans="27:27" ht="18.95" customHeight="1" thickBot="1" x14ac:dyDescent="0.25">
      <c r="AA151" s="65" t="e" vm="1">
        <f t="shared" si="1"/>
        <v>#VALUE!</v>
      </c>
    </row>
    <row r="152" spans="27:27" ht="18.95" customHeight="1" thickBot="1" x14ac:dyDescent="0.25">
      <c r="AA152" s="65" t="e" vm="1">
        <f t="shared" si="1"/>
        <v>#VALUE!</v>
      </c>
    </row>
    <row r="153" spans="27:27" ht="18.95" customHeight="1" thickBot="1" x14ac:dyDescent="0.25">
      <c r="AA153" s="65" t="e" vm="1">
        <f t="shared" si="1"/>
        <v>#VALUE!</v>
      </c>
    </row>
    <row r="154" spans="27:27" ht="18.95" customHeight="1" thickBot="1" x14ac:dyDescent="0.25">
      <c r="AA154" s="65" t="e" vm="1">
        <f t="shared" si="1"/>
        <v>#VALUE!</v>
      </c>
    </row>
    <row r="155" spans="27:27" ht="18.95" customHeight="1" thickBot="1" x14ac:dyDescent="0.25">
      <c r="AA155" s="65" t="e" vm="1">
        <f t="shared" si="1"/>
        <v>#VALUE!</v>
      </c>
    </row>
    <row r="156" spans="27:27" ht="18.95" customHeight="1" thickBot="1" x14ac:dyDescent="0.25">
      <c r="AA156" s="65" t="e" vm="1">
        <f t="shared" si="1"/>
        <v>#VALUE!</v>
      </c>
    </row>
    <row r="157" spans="27:27" ht="18.95" customHeight="1" thickBot="1" x14ac:dyDescent="0.25">
      <c r="AA157" s="65" t="e" vm="1">
        <f t="shared" ref="AA157:AA188" si="2">HLOOKUP($F$6,$AC$92:$AM$118,AB158,FALSE)</f>
        <v>#VALUE!</v>
      </c>
    </row>
    <row r="158" spans="27:27" ht="18.95" customHeight="1" thickBot="1" x14ac:dyDescent="0.25">
      <c r="AA158" s="65" t="e" vm="1">
        <f t="shared" si="2"/>
        <v>#VALUE!</v>
      </c>
    </row>
    <row r="159" spans="27:27" ht="18.95" customHeight="1" thickBot="1" x14ac:dyDescent="0.25">
      <c r="AA159" s="65" t="e" vm="1">
        <f t="shared" si="2"/>
        <v>#VALUE!</v>
      </c>
    </row>
    <row r="160" spans="27:27" ht="18.95" customHeight="1" thickBot="1" x14ac:dyDescent="0.25">
      <c r="AA160" s="65" t="e" vm="1">
        <f t="shared" si="2"/>
        <v>#VALUE!</v>
      </c>
    </row>
    <row r="161" spans="27:27" ht="18.95" customHeight="1" thickBot="1" x14ac:dyDescent="0.25">
      <c r="AA161" s="65" t="e" vm="1">
        <f t="shared" si="2"/>
        <v>#VALUE!</v>
      </c>
    </row>
    <row r="162" spans="27:27" ht="18.95" customHeight="1" thickBot="1" x14ac:dyDescent="0.25">
      <c r="AA162" s="65" t="e" vm="1">
        <f t="shared" si="2"/>
        <v>#VALUE!</v>
      </c>
    </row>
    <row r="163" spans="27:27" ht="18.95" customHeight="1" thickBot="1" x14ac:dyDescent="0.25">
      <c r="AA163" s="65" t="e" vm="1">
        <f t="shared" si="2"/>
        <v>#VALUE!</v>
      </c>
    </row>
    <row r="164" spans="27:27" ht="18.95" customHeight="1" thickBot="1" x14ac:dyDescent="0.25">
      <c r="AA164" s="65" t="e" vm="1">
        <f t="shared" si="2"/>
        <v>#VALUE!</v>
      </c>
    </row>
    <row r="165" spans="27:27" ht="18.95" customHeight="1" thickBot="1" x14ac:dyDescent="0.25">
      <c r="AA165" s="65" t="e" vm="1">
        <f t="shared" si="2"/>
        <v>#VALUE!</v>
      </c>
    </row>
    <row r="166" spans="27:27" ht="18.95" customHeight="1" thickBot="1" x14ac:dyDescent="0.25">
      <c r="AA166" s="65" t="e" vm="1">
        <f t="shared" si="2"/>
        <v>#VALUE!</v>
      </c>
    </row>
    <row r="167" spans="27:27" ht="18.95" customHeight="1" thickBot="1" x14ac:dyDescent="0.25">
      <c r="AA167" s="65" t="e" vm="1">
        <f t="shared" si="2"/>
        <v>#VALUE!</v>
      </c>
    </row>
    <row r="168" spans="27:27" ht="18.95" customHeight="1" thickBot="1" x14ac:dyDescent="0.25">
      <c r="AA168" s="65" t="e" vm="1">
        <f t="shared" si="2"/>
        <v>#VALUE!</v>
      </c>
    </row>
    <row r="169" spans="27:27" ht="18.95" customHeight="1" thickBot="1" x14ac:dyDescent="0.25">
      <c r="AA169" s="65" t="e" vm="1">
        <f t="shared" si="2"/>
        <v>#VALUE!</v>
      </c>
    </row>
    <row r="170" spans="27:27" ht="18.95" customHeight="1" thickBot="1" x14ac:dyDescent="0.25">
      <c r="AA170" s="65" t="e" vm="1">
        <f t="shared" si="2"/>
        <v>#VALUE!</v>
      </c>
    </row>
    <row r="171" spans="27:27" ht="18.95" customHeight="1" thickBot="1" x14ac:dyDescent="0.25">
      <c r="AA171" s="65" t="e" vm="1">
        <f t="shared" si="2"/>
        <v>#VALUE!</v>
      </c>
    </row>
    <row r="172" spans="27:27" ht="18.95" customHeight="1" thickBot="1" x14ac:dyDescent="0.25">
      <c r="AA172" s="65" t="e" vm="1">
        <f t="shared" si="2"/>
        <v>#VALUE!</v>
      </c>
    </row>
    <row r="173" spans="27:27" ht="18.95" customHeight="1" thickBot="1" x14ac:dyDescent="0.25">
      <c r="AA173" s="65" t="e" vm="1">
        <f t="shared" si="2"/>
        <v>#VALUE!</v>
      </c>
    </row>
    <row r="174" spans="27:27" ht="18.95" customHeight="1" thickBot="1" x14ac:dyDescent="0.25">
      <c r="AA174" s="65" t="e" vm="1">
        <f t="shared" si="2"/>
        <v>#VALUE!</v>
      </c>
    </row>
    <row r="175" spans="27:27" ht="18.95" customHeight="1" thickBot="1" x14ac:dyDescent="0.25">
      <c r="AA175" s="65" t="e" vm="1">
        <f t="shared" si="2"/>
        <v>#VALUE!</v>
      </c>
    </row>
    <row r="176" spans="27:27" ht="18.95" customHeight="1" thickBot="1" x14ac:dyDescent="0.25">
      <c r="AA176" s="65" t="e" vm="1">
        <f t="shared" si="2"/>
        <v>#VALUE!</v>
      </c>
    </row>
    <row r="177" spans="27:27" ht="18.95" customHeight="1" thickBot="1" x14ac:dyDescent="0.25">
      <c r="AA177" s="65" t="e" vm="1">
        <f t="shared" si="2"/>
        <v>#VALUE!</v>
      </c>
    </row>
    <row r="178" spans="27:27" ht="18.95" customHeight="1" thickBot="1" x14ac:dyDescent="0.25">
      <c r="AA178" s="65" t="e" vm="1">
        <f t="shared" si="2"/>
        <v>#VALUE!</v>
      </c>
    </row>
    <row r="179" spans="27:27" ht="18.95" customHeight="1" thickBot="1" x14ac:dyDescent="0.25">
      <c r="AA179" s="65" t="e" vm="1">
        <f t="shared" si="2"/>
        <v>#VALUE!</v>
      </c>
    </row>
    <row r="180" spans="27:27" ht="18.95" customHeight="1" thickBot="1" x14ac:dyDescent="0.25">
      <c r="AA180" s="65" t="e" vm="1">
        <f t="shared" si="2"/>
        <v>#VALUE!</v>
      </c>
    </row>
    <row r="181" spans="27:27" ht="18.95" customHeight="1" thickBot="1" x14ac:dyDescent="0.25">
      <c r="AA181" s="65" t="e" vm="1">
        <f t="shared" si="2"/>
        <v>#VALUE!</v>
      </c>
    </row>
    <row r="182" spans="27:27" ht="18.95" customHeight="1" thickBot="1" x14ac:dyDescent="0.25">
      <c r="AA182" s="65" t="e" vm="1">
        <f t="shared" si="2"/>
        <v>#VALUE!</v>
      </c>
    </row>
    <row r="183" spans="27:27" ht="18.95" customHeight="1" thickBot="1" x14ac:dyDescent="0.25">
      <c r="AA183" s="65" t="e" vm="1">
        <f t="shared" si="2"/>
        <v>#VALUE!</v>
      </c>
    </row>
    <row r="184" spans="27:27" ht="18.95" customHeight="1" thickBot="1" x14ac:dyDescent="0.25">
      <c r="AA184" s="65" t="e" vm="1">
        <f t="shared" si="2"/>
        <v>#VALUE!</v>
      </c>
    </row>
    <row r="185" spans="27:27" ht="18.95" customHeight="1" thickBot="1" x14ac:dyDescent="0.25">
      <c r="AA185" s="65" t="e" vm="1">
        <f t="shared" si="2"/>
        <v>#VALUE!</v>
      </c>
    </row>
    <row r="186" spans="27:27" ht="18.95" customHeight="1" thickBot="1" x14ac:dyDescent="0.25">
      <c r="AA186" s="65" t="e" vm="1">
        <f t="shared" si="2"/>
        <v>#VALUE!</v>
      </c>
    </row>
    <row r="187" spans="27:27" ht="18.95" customHeight="1" thickBot="1" x14ac:dyDescent="0.25">
      <c r="AA187" s="65" t="e" vm="1">
        <f t="shared" si="2"/>
        <v>#VALUE!</v>
      </c>
    </row>
    <row r="188" spans="27:27" ht="18.95" customHeight="1" thickBot="1" x14ac:dyDescent="0.25">
      <c r="AA188" s="65" t="e" vm="1">
        <f t="shared" si="2"/>
        <v>#VALUE!</v>
      </c>
    </row>
    <row r="189" spans="27:27" ht="18.95" customHeight="1" thickBot="1" x14ac:dyDescent="0.25">
      <c r="AA189" s="65" t="e" vm="1">
        <f t="shared" ref="AA189:AA195" si="3">HLOOKUP($F$6,$AC$92:$AM$118,AB190,FALSE)</f>
        <v>#VALUE!</v>
      </c>
    </row>
    <row r="190" spans="27:27" ht="18.95" customHeight="1" thickBot="1" x14ac:dyDescent="0.25">
      <c r="AA190" s="65" t="e" vm="1">
        <f t="shared" si="3"/>
        <v>#VALUE!</v>
      </c>
    </row>
    <row r="191" spans="27:27" ht="18.95" customHeight="1" thickBot="1" x14ac:dyDescent="0.25">
      <c r="AA191" s="65" t="e" vm="1">
        <f t="shared" si="3"/>
        <v>#VALUE!</v>
      </c>
    </row>
    <row r="192" spans="27:27" ht="18.95" customHeight="1" thickBot="1" x14ac:dyDescent="0.25">
      <c r="AA192" s="65" t="e" vm="1">
        <f t="shared" si="3"/>
        <v>#VALUE!</v>
      </c>
    </row>
    <row r="193" spans="27:27" ht="18.95" customHeight="1" thickBot="1" x14ac:dyDescent="0.25">
      <c r="AA193" s="65" t="e" vm="1">
        <f t="shared" si="3"/>
        <v>#VALUE!</v>
      </c>
    </row>
    <row r="194" spans="27:27" ht="18.95" customHeight="1" thickBot="1" x14ac:dyDescent="0.25">
      <c r="AA194" s="65" t="e" vm="1">
        <f t="shared" si="3"/>
        <v>#VALUE!</v>
      </c>
    </row>
    <row r="195" spans="27:27" ht="18.95" customHeight="1" thickBot="1" x14ac:dyDescent="0.25">
      <c r="AA195" s="65" t="e" vm="1">
        <f t="shared" si="3"/>
        <v>#VALUE!</v>
      </c>
    </row>
  </sheetData>
  <mergeCells count="42">
    <mergeCell ref="C2:D2"/>
    <mergeCell ref="F2:G2"/>
    <mergeCell ref="L2:O2"/>
    <mergeCell ref="C3:D3"/>
    <mergeCell ref="F3:I3"/>
    <mergeCell ref="L3:O3"/>
    <mergeCell ref="C4:D4"/>
    <mergeCell ref="F4:I4"/>
    <mergeCell ref="M4:O4"/>
    <mergeCell ref="C6:D6"/>
    <mergeCell ref="F6:H6"/>
    <mergeCell ref="I6:J6"/>
    <mergeCell ref="K6:L6"/>
    <mergeCell ref="M6:N6"/>
    <mergeCell ref="C7:D7"/>
    <mergeCell ref="F7:H7"/>
    <mergeCell ref="K7:L7"/>
    <mergeCell ref="M7:N7"/>
    <mergeCell ref="K8:L8"/>
    <mergeCell ref="M8:N8"/>
    <mergeCell ref="C9:F9"/>
    <mergeCell ref="K9:L9"/>
    <mergeCell ref="M9:N9"/>
    <mergeCell ref="N10:N11"/>
    <mergeCell ref="O10:O11"/>
    <mergeCell ref="C11:D11"/>
    <mergeCell ref="J11:K11"/>
    <mergeCell ref="J13:K13"/>
    <mergeCell ref="J14:K14"/>
    <mergeCell ref="J15:K15"/>
    <mergeCell ref="J16:K16"/>
    <mergeCell ref="J17:K17"/>
    <mergeCell ref="J18:K18"/>
    <mergeCell ref="J26:O26"/>
    <mergeCell ref="J27:O27"/>
    <mergeCell ref="J28:O28"/>
    <mergeCell ref="J19:K19"/>
    <mergeCell ref="J20:K20"/>
    <mergeCell ref="J22:K22"/>
    <mergeCell ref="J23:O23"/>
    <mergeCell ref="J24:O24"/>
    <mergeCell ref="J25:O25"/>
  </mergeCells>
  <phoneticPr fontId="51" type="noConversion"/>
  <dataValidations xWindow="352" yWindow="359" count="14">
    <dataValidation allowBlank="1" showErrorMessage="1" promptTitle="Corner Type" prompt="Choose your shade sail corner type from the drop down menu." sqref="M21" xr:uid="{00000000-0002-0000-0100-000000000000}">
      <formula1>0</formula1>
      <formula2>0</formula2>
    </dataValidation>
    <dataValidation allowBlank="1" showErrorMessage="1" promptTitle="Catenary Offset" prompt="Choose a percentage for the catenary offset.  0% for sail track." sqref="G13:G20" xr:uid="{00000000-0002-0000-0100-000001000000}">
      <formula1>0</formula1>
      <formula2>0</formula2>
    </dataValidation>
    <dataValidation type="list" allowBlank="1" showInputMessage="1" showErrorMessage="1" promptTitle="Reverse point" prompt="Choose &quot;R&quot; if your shade has a reverse angle point in it." sqref="O13" xr:uid="{00000000-0002-0000-0100-000002000000}">
      <formula1>$AC$71:$AC$73</formula1>
      <formula2>0</formula2>
    </dataValidation>
    <dataValidation allowBlank="1" showErrorMessage="1" sqref="I6:J6 O6 C7:D7" xr:uid="{00000000-0002-0000-0100-000003000000}">
      <formula1>0</formula1>
      <formula2>0</formula2>
    </dataValidation>
    <dataValidation type="list" allowBlank="1" showInputMessage="1" showErrorMessage="1" promptTitle="Number of posts" prompt="Select the number of posts/fixing points needed." sqref="G9" xr:uid="{00000000-0002-0000-0100-000004000000}">
      <formula1>$AE$69:$AE$74</formula1>
      <formula2>0</formula2>
    </dataValidation>
    <dataValidation type="list" allowBlank="1" showInputMessage="1" showErrorMessage="1" promptTitle="Tag Position" prompt="If you want a label added, select the postion here." sqref="H13:H20" xr:uid="{00000000-0002-0000-0100-000005000000}">
      <formula1>$AC$68:$AC$69</formula1>
      <formula2>0</formula2>
    </dataValidation>
    <dataValidation type="list" allowBlank="1" showErrorMessage="1" promptTitle="Fixing Point" prompt="Choose the fixing point type from the drop down menu." sqref="L13:L20" xr:uid="{00000000-0002-0000-0100-000006000000}">
      <formula1>$AB$50:$AB$53</formula1>
      <formula2>0</formula2>
    </dataValidation>
    <dataValidation type="list" allowBlank="1" showErrorMessage="1" promptTitle="Reverse point" prompt="Choose &quot;R&quot; if your shade has a reverse angle point in it." sqref="O14:O20" xr:uid="{00000000-0002-0000-0100-000007000000}">
      <formula1>$AC$71:$AC$73</formula1>
      <formula2>0</formula2>
    </dataValidation>
    <dataValidation type="list" allowBlank="1" showInputMessage="1" showErrorMessage="1" promptTitle="Corner Type" prompt="Choose a corner fixing type." sqref="M8" xr:uid="{00000000-0002-0000-0100-000008000000}">
      <formula1>$AI$62:$AI$68</formula1>
      <formula2>0</formula2>
    </dataValidation>
    <dataValidation type="list" allowBlank="1" showInputMessage="1" showErrorMessage="1" promptTitle="Edge Type" prompt="Choose your required edge type." sqref="M9" xr:uid="{00000000-0002-0000-0100-000009000000}">
      <formula1>$AL$62:$AL$68</formula1>
      <formula2>0</formula2>
    </dataValidation>
    <dataValidation type="list" allowBlank="1" showErrorMessage="1" sqref="F6:H6" xr:uid="{00000000-0002-0000-0100-00000A000000}">
      <formula1>$Z$93:$Z$114</formula1>
    </dataValidation>
    <dataValidation type="list" allowBlank="1" showInputMessage="1" showErrorMessage="1" promptTitle="Colour" prompt="Choose a colour offered by the brand chosen." sqref="F7:H7" xr:uid="{00000000-0002-0000-0100-00000B000000}">
      <formula1>$AA$93:$AA$117</formula1>
      <formula2>0</formula2>
    </dataValidation>
    <dataValidation type="list" allowBlank="1" showErrorMessage="1" promptTitle="Fixing Type" prompt="Choose the fixing type from drop down menu." sqref="M13:M20" xr:uid="{00000000-0002-0000-0100-00000C000000}">
      <formula1>$P$13:$P$18</formula1>
      <formula2>0</formula2>
    </dataValidation>
    <dataValidation type="list" allowBlank="1" showErrorMessage="1" sqref="M6:N6" xr:uid="{00000000-0002-0000-0100-00000D000000}">
      <formula1>$AH$50:$AH$54</formula1>
    </dataValidation>
  </dataValidations>
  <pageMargins left="0.75000000000000011" right="0.75000000000000011" top="0.98" bottom="0.98" header="0.51" footer="0.51"/>
  <pageSetup paperSize="9" scale="52" firstPageNumber="0" orientation="portrait" horizontalDpi="300" verticalDpi="300"/>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219"/>
  <sheetViews>
    <sheetView showGridLines="0" tabSelected="1" view="pageBreakPreview" zoomScale="55" zoomScaleSheetLayoutView="55" workbookViewId="0">
      <selection activeCell="N27" sqref="N27"/>
    </sheetView>
  </sheetViews>
  <sheetFormatPr defaultColWidth="8.85546875" defaultRowHeight="12.75" x14ac:dyDescent="0.2"/>
  <cols>
    <col min="1" max="1" width="2" style="1" customWidth="1"/>
    <col min="2" max="2" width="0" style="1" hidden="1" customWidth="1"/>
    <col min="3" max="3" width="6.42578125" style="1" customWidth="1"/>
    <col min="4" max="4" width="11.42578125" style="1" customWidth="1"/>
    <col min="5" max="5" width="0" style="1" hidden="1" customWidth="1"/>
    <col min="6" max="6" width="11.7109375" style="1" customWidth="1"/>
    <col min="7" max="7" width="10.28515625" style="1" customWidth="1"/>
    <col min="8" max="8" width="9.7109375" style="1" customWidth="1"/>
    <col min="9" max="9" width="11" style="1" customWidth="1"/>
    <col min="10" max="11" width="3.42578125" style="1" customWidth="1"/>
    <col min="12" max="12" width="14.42578125" style="1" customWidth="1"/>
    <col min="13" max="13" width="17.42578125" style="1" customWidth="1"/>
    <col min="14" max="14" width="19" style="1" customWidth="1"/>
    <col min="15" max="15" width="2" style="1" customWidth="1"/>
    <col min="16" max="16" width="14.42578125" style="1" customWidth="1"/>
    <col min="17" max="19" width="8.85546875" style="1"/>
    <col min="20" max="37" width="8.85546875" style="1" customWidth="1"/>
    <col min="38" max="16384" width="8.85546875" style="1"/>
  </cols>
  <sheetData>
    <row r="1" spans="3:16" ht="12.75" customHeight="1" thickBot="1" x14ac:dyDescent="0.25"/>
    <row r="2" spans="3:16" ht="18" customHeight="1" x14ac:dyDescent="0.25">
      <c r="C2" s="219" t="s">
        <v>25</v>
      </c>
      <c r="D2" s="219"/>
      <c r="E2" s="67"/>
      <c r="F2" s="264">
        <f ca="1">TODAY()</f>
        <v>46135</v>
      </c>
      <c r="G2" s="264"/>
      <c r="H2" s="68"/>
      <c r="I2" s="68"/>
      <c r="J2" s="69"/>
      <c r="L2" s="14" t="s">
        <v>214</v>
      </c>
      <c r="M2" s="265" t="s">
        <v>425</v>
      </c>
      <c r="N2" s="265"/>
      <c r="O2" s="265"/>
      <c r="P2" s="265"/>
    </row>
    <row r="3" spans="3:16" ht="18" x14ac:dyDescent="0.25">
      <c r="C3" s="222" t="s">
        <v>208</v>
      </c>
      <c r="D3" s="222"/>
      <c r="E3" s="20"/>
      <c r="F3" s="262" t="str">
        <f>Details!D5</f>
        <v>Mackay</v>
      </c>
      <c r="G3" s="262"/>
      <c r="H3" s="262"/>
      <c r="I3" s="262"/>
      <c r="J3" s="262"/>
      <c r="L3" s="19"/>
      <c r="M3" s="262"/>
      <c r="N3" s="262"/>
      <c r="O3" s="262"/>
      <c r="P3" s="262"/>
    </row>
    <row r="4" spans="3:16" ht="18.75" thickBot="1" x14ac:dyDescent="0.3">
      <c r="C4" s="222" t="s">
        <v>209</v>
      </c>
      <c r="D4" s="222"/>
      <c r="E4" s="20"/>
      <c r="F4" s="262">
        <f>Details!D6</f>
        <v>0</v>
      </c>
      <c r="G4" s="262"/>
      <c r="H4" s="262"/>
      <c r="I4" s="263"/>
      <c r="J4" s="263"/>
      <c r="L4" s="21" t="s">
        <v>215</v>
      </c>
      <c r="M4" s="260" t="s">
        <v>424</v>
      </c>
      <c r="N4" s="260"/>
      <c r="O4" s="260"/>
      <c r="P4" s="261"/>
    </row>
    <row r="5" spans="3:16" ht="18.75" thickBot="1" x14ac:dyDescent="0.3">
      <c r="C5" s="144"/>
      <c r="D5" s="145" t="s">
        <v>217</v>
      </c>
      <c r="E5" s="146"/>
      <c r="F5" s="147">
        <f>Details!D4</f>
        <v>0</v>
      </c>
      <c r="G5" s="147"/>
      <c r="H5" s="148"/>
      <c r="I5" s="29"/>
      <c r="J5" s="29"/>
      <c r="L5" s="25"/>
      <c r="M5" s="34"/>
      <c r="N5" s="29"/>
      <c r="O5" s="29"/>
      <c r="P5" s="29"/>
    </row>
    <row r="6" spans="3:16" ht="18.75" thickBot="1" x14ac:dyDescent="0.3">
      <c r="C6" s="215" t="s">
        <v>31</v>
      </c>
      <c r="D6" s="215"/>
      <c r="E6" s="22"/>
      <c r="F6" s="201" t="str">
        <f>Main!F6</f>
        <v>Z 16</v>
      </c>
      <c r="G6" s="158"/>
      <c r="H6" s="159"/>
      <c r="I6" s="70"/>
      <c r="J6" s="29"/>
      <c r="K6" s="49"/>
      <c r="L6" s="251" t="s">
        <v>348</v>
      </c>
      <c r="M6" s="251"/>
      <c r="N6" s="259" t="str">
        <f>Details!D28</f>
        <v>PTFE</v>
      </c>
      <c r="O6" s="259"/>
      <c r="P6" s="71"/>
    </row>
    <row r="7" spans="3:16" ht="18.75" thickBot="1" x14ac:dyDescent="0.3">
      <c r="C7" s="211" t="s">
        <v>34</v>
      </c>
      <c r="D7" s="211"/>
      <c r="E7" s="72"/>
      <c r="F7" s="157" t="str">
        <f>Main!F7</f>
        <v>CHARCOAL</v>
      </c>
      <c r="G7" s="158"/>
      <c r="H7" s="159"/>
      <c r="I7" s="70"/>
      <c r="L7" s="251" t="str">
        <f>Details!B27</f>
        <v>Fold Direction:</v>
      </c>
      <c r="M7" s="251"/>
      <c r="N7" s="252" t="str">
        <f>Details!D27</f>
        <v>Underside</v>
      </c>
      <c r="O7" s="253"/>
    </row>
    <row r="8" spans="3:16" ht="18.75" thickBot="1" x14ac:dyDescent="0.3">
      <c r="L8" s="251" t="str">
        <f>Details!B30</f>
        <v>Corner Fittings:</v>
      </c>
      <c r="M8" s="251"/>
      <c r="N8" s="252" t="str">
        <f>Details!D30</f>
        <v>Small Pro-Rig</v>
      </c>
      <c r="O8" s="253"/>
    </row>
    <row r="9" spans="3:16" ht="18.75" thickBot="1" x14ac:dyDescent="0.3">
      <c r="C9" s="205" t="s">
        <v>37</v>
      </c>
      <c r="D9" s="205"/>
      <c r="E9" s="205"/>
      <c r="F9" s="205"/>
      <c r="G9" s="73">
        <f>Main!G9</f>
        <v>6</v>
      </c>
      <c r="L9" s="251" t="s">
        <v>355</v>
      </c>
      <c r="M9" s="251"/>
      <c r="N9" s="254" t="str">
        <f>Details!D29</f>
        <v>4mm</v>
      </c>
      <c r="O9" s="255"/>
    </row>
    <row r="10" spans="3:16" ht="18" x14ac:dyDescent="0.25">
      <c r="C10" s="141"/>
      <c r="D10" s="141"/>
      <c r="E10" s="141"/>
      <c r="F10" s="141"/>
      <c r="G10" s="143"/>
      <c r="L10" s="251" t="s">
        <v>363</v>
      </c>
      <c r="M10" s="251"/>
      <c r="N10" s="303" t="str">
        <f>Details!D25</f>
        <v>Continuous</v>
      </c>
      <c r="O10" s="304"/>
    </row>
    <row r="11" spans="3:16" ht="15.75" customHeight="1" x14ac:dyDescent="0.2">
      <c r="F11" s="256" t="s">
        <v>122</v>
      </c>
      <c r="O11" s="257" t="s">
        <v>38</v>
      </c>
      <c r="P11" s="257" t="s">
        <v>39</v>
      </c>
    </row>
    <row r="12" spans="3:16" x14ac:dyDescent="0.2">
      <c r="C12" s="266" t="str">
        <f>'shade check'!C9</f>
        <v>POINT-POINT</v>
      </c>
      <c r="D12" s="266"/>
      <c r="E12" s="74"/>
      <c r="F12" s="256"/>
      <c r="G12" s="75" t="str">
        <f>'shade check'!F9</f>
        <v>OFFSET</v>
      </c>
      <c r="H12" s="75" t="s">
        <v>40</v>
      </c>
      <c r="I12" s="75" t="s">
        <v>353</v>
      </c>
      <c r="J12" s="76"/>
      <c r="K12" s="258" t="s">
        <v>41</v>
      </c>
      <c r="L12" s="258"/>
      <c r="M12" s="75" t="str">
        <f>'shade check'!K9</f>
        <v>FIXED TO</v>
      </c>
      <c r="N12" s="75" t="str">
        <f>'shade check'!L9</f>
        <v>FIXING</v>
      </c>
      <c r="O12" s="257"/>
      <c r="P12" s="257"/>
    </row>
    <row r="14" spans="3:16" ht="18" x14ac:dyDescent="0.25">
      <c r="C14" s="77" t="str">
        <f>'shade check'!C11</f>
        <v>A-B</v>
      </c>
      <c r="D14" s="180">
        <f>Main!D13</f>
        <v>4370</v>
      </c>
      <c r="E14" s="78">
        <f>Main!E13</f>
        <v>0</v>
      </c>
      <c r="F14" s="196">
        <f>'shade check'!BB23</f>
        <v>0</v>
      </c>
      <c r="G14" s="189">
        <f>Main!F13</f>
        <v>0.05</v>
      </c>
      <c r="H14" s="197">
        <f>ROUND('shade check'!AZ23,-1)</f>
        <v>220</v>
      </c>
      <c r="I14" s="190" t="str">
        <f>Main!H13</f>
        <v>-</v>
      </c>
      <c r="K14" s="79" t="str">
        <f>'shade check'!H11</f>
        <v>A</v>
      </c>
      <c r="L14" s="175">
        <f>Main!J13</f>
        <v>0</v>
      </c>
      <c r="M14" s="186">
        <f>Main!L13</f>
        <v>0</v>
      </c>
      <c r="N14" s="182">
        <f>Main!M13</f>
        <v>0</v>
      </c>
      <c r="O14" s="184" t="e">
        <f>Main!N13</f>
        <v>#N/A</v>
      </c>
      <c r="P14" s="183" t="str">
        <f>Main!O13</f>
        <v>-</v>
      </c>
    </row>
    <row r="15" spans="3:16" ht="18" x14ac:dyDescent="0.25">
      <c r="C15" s="77" t="str">
        <f>'shade check'!C12</f>
        <v>B-C</v>
      </c>
      <c r="D15" s="81">
        <f>Main!D14</f>
        <v>4340</v>
      </c>
      <c r="E15" s="80">
        <f>Main!E14</f>
        <v>0</v>
      </c>
      <c r="F15" s="196">
        <f>'shade check'!BB24</f>
        <v>0</v>
      </c>
      <c r="G15" s="189">
        <f>Main!F14</f>
        <v>0.05</v>
      </c>
      <c r="H15" s="197">
        <f>ROUND('shade check'!AZ24,-1)</f>
        <v>220</v>
      </c>
      <c r="I15" s="190" t="str">
        <f>Main!H14</f>
        <v>-</v>
      </c>
      <c r="K15" s="79" t="str">
        <f>'shade check'!H12</f>
        <v>B</v>
      </c>
      <c r="L15" s="175">
        <f>Main!J14</f>
        <v>0</v>
      </c>
      <c r="M15" s="186">
        <f>Main!L14</f>
        <v>0</v>
      </c>
      <c r="N15" s="182">
        <f>Main!M14</f>
        <v>0</v>
      </c>
      <c r="O15" s="184" t="e">
        <f>Main!N14</f>
        <v>#N/A</v>
      </c>
      <c r="P15" s="185" t="str">
        <f>Main!O14</f>
        <v>-</v>
      </c>
    </row>
    <row r="16" spans="3:16" ht="18" x14ac:dyDescent="0.25">
      <c r="C16" s="77" t="str">
        <f>'shade check'!C13</f>
        <v>C-D</v>
      </c>
      <c r="D16" s="81">
        <f>Main!D15</f>
        <v>7160</v>
      </c>
      <c r="E16" s="80">
        <f>Main!E15</f>
        <v>0</v>
      </c>
      <c r="F16" s="196">
        <f>'shade check'!BB25</f>
        <v>0</v>
      </c>
      <c r="G16" s="189">
        <f>Main!F15</f>
        <v>0.05</v>
      </c>
      <c r="H16" s="197">
        <f>ROUND('shade check'!AZ25,-1)</f>
        <v>360</v>
      </c>
      <c r="I16" s="190" t="str">
        <f>Main!H15</f>
        <v>-</v>
      </c>
      <c r="K16" s="79" t="str">
        <f>'shade check'!H13</f>
        <v>C</v>
      </c>
      <c r="L16" s="175">
        <f>Main!J15</f>
        <v>0</v>
      </c>
      <c r="M16" s="186">
        <f>Main!L15</f>
        <v>0</v>
      </c>
      <c r="N16" s="182">
        <f>Main!M15</f>
        <v>0</v>
      </c>
      <c r="O16" s="184" t="e">
        <f>Main!N15</f>
        <v>#N/A</v>
      </c>
      <c r="P16" s="185" t="str">
        <f>Main!O15</f>
        <v>-</v>
      </c>
    </row>
    <row r="17" spans="2:16" ht="18" x14ac:dyDescent="0.25">
      <c r="C17" s="77" t="str">
        <f>'shade check'!C14</f>
        <v>D-E</v>
      </c>
      <c r="D17" s="81">
        <f>Main!D16</f>
        <v>3490</v>
      </c>
      <c r="E17" s="80">
        <f>Main!E16</f>
        <v>0</v>
      </c>
      <c r="F17" s="196">
        <f>'shade check'!BB26</f>
        <v>0</v>
      </c>
      <c r="G17" s="191">
        <f>Main!F16</f>
        <v>0.05</v>
      </c>
      <c r="H17" s="198">
        <f>ROUND('shade check'!AZ26,-1)</f>
        <v>170</v>
      </c>
      <c r="I17" s="192" t="str">
        <f>Main!H16</f>
        <v>-</v>
      </c>
      <c r="K17" s="79" t="str">
        <f>'shade check'!H14</f>
        <v>D</v>
      </c>
      <c r="L17" s="175">
        <f>Main!J16</f>
        <v>0</v>
      </c>
      <c r="M17" s="186">
        <f>Main!L16</f>
        <v>0</v>
      </c>
      <c r="N17" s="182">
        <f>Main!M16</f>
        <v>0</v>
      </c>
      <c r="O17" s="184" t="e">
        <f>Main!N16</f>
        <v>#N/A</v>
      </c>
      <c r="P17" s="185" t="str">
        <f>Main!O16</f>
        <v>-</v>
      </c>
    </row>
    <row r="18" spans="2:16" ht="18" x14ac:dyDescent="0.25">
      <c r="C18" s="77" t="str">
        <f>'shade check'!C15</f>
        <v>E-F</v>
      </c>
      <c r="D18" s="81">
        <f>Main!D17</f>
        <v>2600</v>
      </c>
      <c r="E18" s="80">
        <f>Main!E17</f>
        <v>0</v>
      </c>
      <c r="F18" s="196">
        <f>'shade check'!BB27</f>
        <v>0</v>
      </c>
      <c r="G18" s="189">
        <f>Main!F17</f>
        <v>0.05</v>
      </c>
      <c r="H18" s="197">
        <f>ROUND('shade check'!AZ27,-1)</f>
        <v>130</v>
      </c>
      <c r="I18" s="190">
        <f>Main!H17</f>
        <v>0</v>
      </c>
      <c r="K18" s="79" t="str">
        <f>'shade check'!H15</f>
        <v>E</v>
      </c>
      <c r="L18" s="175">
        <f>Main!J17</f>
        <v>0</v>
      </c>
      <c r="M18" s="186">
        <f>Main!L17</f>
        <v>0</v>
      </c>
      <c r="N18" s="182">
        <f>Main!M17</f>
        <v>0</v>
      </c>
      <c r="O18" s="184" t="e">
        <f>Main!N17</f>
        <v>#N/A</v>
      </c>
      <c r="P18" s="185" t="str">
        <f>Main!O17</f>
        <v>-</v>
      </c>
    </row>
    <row r="19" spans="2:16" ht="18" x14ac:dyDescent="0.25">
      <c r="C19" s="77" t="str">
        <f>'shade check'!C16</f>
        <v>F-A</v>
      </c>
      <c r="D19" s="81">
        <f>Main!D18</f>
        <v>7480</v>
      </c>
      <c r="E19" s="80">
        <f>Main!E18</f>
        <v>0</v>
      </c>
      <c r="F19" s="196">
        <f>'shade check'!BB28</f>
        <v>0</v>
      </c>
      <c r="G19" s="188">
        <f>Main!F18</f>
        <v>0.05</v>
      </c>
      <c r="H19" s="199">
        <f>ROUND('shade check'!AZ28,-1)</f>
        <v>140</v>
      </c>
      <c r="I19" s="193" t="str">
        <f>Main!H18</f>
        <v>-</v>
      </c>
      <c r="K19" s="79" t="str">
        <f>'shade check'!H16</f>
        <v>F</v>
      </c>
      <c r="L19" s="175">
        <f>Main!J18</f>
        <v>0</v>
      </c>
      <c r="M19" s="186" t="str">
        <f>Main!L18</f>
        <v>-</v>
      </c>
      <c r="N19" s="182" t="str">
        <f>Main!M18</f>
        <v>-</v>
      </c>
      <c r="O19" s="184" t="e">
        <f>Main!N18</f>
        <v>#N/A</v>
      </c>
      <c r="P19" s="185" t="str">
        <f>Main!O18</f>
        <v>-</v>
      </c>
    </row>
    <row r="20" spans="2:16" ht="18" x14ac:dyDescent="0.25">
      <c r="C20" s="77" t="str">
        <f>'shade check'!C17</f>
        <v/>
      </c>
      <c r="D20" s="81" t="str">
        <f>Main!D19</f>
        <v>-</v>
      </c>
      <c r="E20" s="80">
        <f>Main!E19</f>
        <v>0</v>
      </c>
      <c r="F20" s="196">
        <f>'shade check'!BB29</f>
        <v>0</v>
      </c>
      <c r="G20" s="189">
        <f>Main!F19</f>
        <v>0.05</v>
      </c>
      <c r="H20" s="197">
        <f>ROUND('shade check'!AZ29,-1)</f>
        <v>0</v>
      </c>
      <c r="I20" s="190" t="str">
        <f>Main!H19</f>
        <v>-</v>
      </c>
      <c r="K20" s="79" t="str">
        <f>'shade check'!H17</f>
        <v/>
      </c>
      <c r="L20" s="175">
        <f>Main!J19</f>
        <v>0</v>
      </c>
      <c r="M20" s="186" t="str">
        <f>Main!L19</f>
        <v>-</v>
      </c>
      <c r="N20" s="182" t="str">
        <f>Main!M19</f>
        <v>-</v>
      </c>
      <c r="O20" s="184" t="e">
        <f>Main!N19</f>
        <v>#N/A</v>
      </c>
      <c r="P20" s="185" t="str">
        <f>Main!O19</f>
        <v>-</v>
      </c>
    </row>
    <row r="21" spans="2:16" ht="18" x14ac:dyDescent="0.25">
      <c r="C21" s="77" t="str">
        <f>'shade check'!C18</f>
        <v/>
      </c>
      <c r="D21" s="81" t="str">
        <f>Main!D20</f>
        <v>-</v>
      </c>
      <c r="E21" s="82">
        <f>Main!E20</f>
        <v>0</v>
      </c>
      <c r="F21" s="196">
        <f>'shade check'!BB30</f>
        <v>0</v>
      </c>
      <c r="G21" s="194">
        <f>Main!F20</f>
        <v>0.05</v>
      </c>
      <c r="H21" s="200">
        <f>ROUND('shade check'!AZ30,-1)</f>
        <v>0</v>
      </c>
      <c r="I21" s="195" t="str">
        <f>Main!H20</f>
        <v>-</v>
      </c>
      <c r="K21" s="79" t="str">
        <f>'shade check'!H18</f>
        <v/>
      </c>
      <c r="L21" s="175">
        <f>Main!J20</f>
        <v>0</v>
      </c>
      <c r="M21" s="186" t="str">
        <f>Main!L20</f>
        <v>-</v>
      </c>
      <c r="N21" s="181" t="str">
        <f>Main!M20</f>
        <v>-</v>
      </c>
      <c r="O21" s="184" t="e">
        <f>Main!N20</f>
        <v>#N/A</v>
      </c>
      <c r="P21" s="185" t="str">
        <f>Main!O20</f>
        <v>-</v>
      </c>
    </row>
    <row r="22" spans="2:16" ht="21.95" customHeight="1" thickBot="1" x14ac:dyDescent="0.3">
      <c r="D22" s="179">
        <f>SUM(D14:D21)+2</f>
        <v>29442</v>
      </c>
      <c r="E22" s="34"/>
      <c r="F22" s="34" t="s">
        <v>423</v>
      </c>
      <c r="M22" s="48"/>
      <c r="O22" s="25" t="str">
        <f>Details!B19</f>
        <v>Size T Buckle:</v>
      </c>
      <c r="P22" s="178" t="s">
        <v>427</v>
      </c>
    </row>
    <row r="23" spans="2:16" ht="21.95" customHeight="1" thickBot="1" x14ac:dyDescent="0.3">
      <c r="C23" s="305" t="str">
        <f>'shade check'!C20</f>
        <v>- ERROR - REMEASURE</v>
      </c>
      <c r="D23" s="305"/>
      <c r="E23" s="305"/>
      <c r="F23" s="305"/>
      <c r="G23" s="151" t="str">
        <f>'shade check'!G20</f>
        <v>Error</v>
      </c>
      <c r="H23" s="176" t="s">
        <v>218</v>
      </c>
      <c r="I23" s="50"/>
      <c r="L23" s="276"/>
      <c r="M23" s="277"/>
      <c r="O23" s="25" t="str">
        <f>Details!B20</f>
        <v>Size D Shackle:</v>
      </c>
      <c r="P23" s="178" t="s">
        <v>428</v>
      </c>
    </row>
    <row r="24" spans="2:16" ht="21.95" customHeight="1" thickBot="1" x14ac:dyDescent="0.3">
      <c r="C24" s="305"/>
      <c r="D24" s="305"/>
      <c r="E24" s="305"/>
      <c r="F24" s="305"/>
      <c r="G24" s="187">
        <f>'shade check'!G21</f>
        <v>0.104353297883683</v>
      </c>
      <c r="H24" s="176"/>
      <c r="I24" s="83"/>
      <c r="K24" s="174"/>
      <c r="L24" s="278"/>
      <c r="M24" s="279"/>
      <c r="O24" s="25" t="str">
        <f>Details!B21</f>
        <v>Size Toggle:</v>
      </c>
      <c r="P24" s="178"/>
    </row>
    <row r="25" spans="2:16" ht="21.95" customHeight="1" x14ac:dyDescent="0.3">
      <c r="H25" s="176"/>
      <c r="K25" s="174"/>
      <c r="L25" s="280"/>
      <c r="M25" s="281"/>
      <c r="N25" s="174"/>
      <c r="O25" s="177"/>
    </row>
    <row r="26" spans="2:16" ht="21.95" customHeight="1" x14ac:dyDescent="0.3">
      <c r="C26" s="84" t="str">
        <f>'shade check'!C23</f>
        <v>DIAGONAL POINT TO POINT</v>
      </c>
      <c r="D26" s="84"/>
      <c r="E26" s="84"/>
      <c r="F26" s="84"/>
      <c r="G26" s="84"/>
      <c r="H26" s="176" t="s">
        <v>216</v>
      </c>
      <c r="I26" s="84"/>
      <c r="K26" s="174"/>
      <c r="L26" s="282"/>
      <c r="M26" s="283"/>
      <c r="N26" s="174"/>
      <c r="O26" s="177"/>
    </row>
    <row r="27" spans="2:16" ht="21.95" customHeight="1" x14ac:dyDescent="0.3">
      <c r="K27" s="174"/>
      <c r="L27" s="284"/>
      <c r="M27" s="285"/>
      <c r="N27" s="174"/>
      <c r="O27" s="177"/>
    </row>
    <row r="28" spans="2:16" ht="21.95" customHeight="1" x14ac:dyDescent="0.25">
      <c r="B28" s="1">
        <f>'shade check'!B25</f>
        <v>1</v>
      </c>
      <c r="C28" s="77" t="str">
        <f>'shade check'!C25</f>
        <v>A-C</v>
      </c>
      <c r="D28" s="152">
        <f>Main!D24</f>
        <v>7750</v>
      </c>
      <c r="K28" s="174"/>
      <c r="L28" s="286"/>
      <c r="M28" s="287"/>
      <c r="N28" s="174"/>
      <c r="O28" s="174"/>
      <c r="P28" s="174"/>
    </row>
    <row r="29" spans="2:16" ht="18" x14ac:dyDescent="0.25">
      <c r="B29" s="1">
        <f>'shade check'!B26</f>
        <v>2</v>
      </c>
      <c r="C29" s="77" t="str">
        <f>'shade check'!C26</f>
        <v>A-D</v>
      </c>
      <c r="D29" s="152">
        <f>Main!D25</f>
        <v>10420</v>
      </c>
      <c r="K29" s="174"/>
      <c r="L29" s="174"/>
      <c r="M29" s="174"/>
      <c r="N29" s="174"/>
      <c r="O29" s="174"/>
      <c r="P29" s="174"/>
    </row>
    <row r="30" spans="2:16" ht="18" x14ac:dyDescent="0.25">
      <c r="B30" s="1">
        <f>'shade check'!B27</f>
        <v>3</v>
      </c>
      <c r="C30" s="77" t="str">
        <f>'shade check'!C27</f>
        <v>A-E</v>
      </c>
      <c r="D30" s="152">
        <f>Main!D26</f>
        <v>8280</v>
      </c>
    </row>
    <row r="31" spans="2:16" ht="18" x14ac:dyDescent="0.25">
      <c r="B31" s="1">
        <f>'shade check'!B28</f>
        <v>4</v>
      </c>
      <c r="C31" s="77" t="str">
        <f>'shade check'!C28</f>
        <v>B-D</v>
      </c>
      <c r="D31" s="152">
        <f>Main!D27</f>
        <v>8300</v>
      </c>
    </row>
    <row r="32" spans="2:16" ht="18" x14ac:dyDescent="0.25">
      <c r="B32" s="1">
        <f>'shade check'!B29</f>
        <v>5</v>
      </c>
      <c r="C32" s="77" t="str">
        <f>'shade check'!C29</f>
        <v>B-E</v>
      </c>
      <c r="D32" s="152">
        <f>Main!D28</f>
        <v>7390</v>
      </c>
    </row>
    <row r="33" spans="2:37" ht="18" x14ac:dyDescent="0.25">
      <c r="B33" s="1">
        <f>'shade check'!B30</f>
        <v>6</v>
      </c>
      <c r="C33" s="77" t="str">
        <f>'shade check'!C30</f>
        <v>B-F</v>
      </c>
      <c r="D33" s="152">
        <f>Main!D29</f>
        <v>8020</v>
      </c>
    </row>
    <row r="34" spans="2:37" ht="18" x14ac:dyDescent="0.25">
      <c r="B34" s="1">
        <f>'shade check'!B31</f>
        <v>7</v>
      </c>
      <c r="C34" s="77" t="str">
        <f>'shade check'!C31</f>
        <v>C-E</v>
      </c>
      <c r="D34" s="152">
        <f>Main!D30</f>
        <v>8080</v>
      </c>
    </row>
    <row r="35" spans="2:37" ht="18" x14ac:dyDescent="0.25">
      <c r="B35" s="1">
        <f>'shade check'!B32</f>
        <v>8</v>
      </c>
      <c r="C35" s="77" t="str">
        <f>'shade check'!C32</f>
        <v>C-F</v>
      </c>
      <c r="D35" s="152">
        <f>Main!D31</f>
        <v>9570</v>
      </c>
    </row>
    <row r="36" spans="2:37" ht="18" x14ac:dyDescent="0.25">
      <c r="B36" s="1">
        <f>'shade check'!B33</f>
        <v>9</v>
      </c>
      <c r="C36" s="77" t="str">
        <f>'shade check'!C33</f>
        <v>D-F</v>
      </c>
      <c r="D36" s="152">
        <f>Main!D32</f>
        <v>5990</v>
      </c>
    </row>
    <row r="37" spans="2:37" ht="18" x14ac:dyDescent="0.25">
      <c r="B37" s="1">
        <f>'shade check'!B34</f>
        <v>10</v>
      </c>
      <c r="C37" s="77" t="str">
        <f>'shade check'!C34</f>
        <v/>
      </c>
      <c r="D37" s="152" t="str">
        <f>Main!D33</f>
        <v>-</v>
      </c>
    </row>
    <row r="38" spans="2:37" ht="18" x14ac:dyDescent="0.25">
      <c r="B38" s="1">
        <f>'shade check'!B35</f>
        <v>11</v>
      </c>
      <c r="C38" s="77" t="str">
        <f>'shade check'!C35</f>
        <v/>
      </c>
      <c r="D38" s="152" t="str">
        <f>Main!D34</f>
        <v>-</v>
      </c>
    </row>
    <row r="39" spans="2:37" ht="18" x14ac:dyDescent="0.25">
      <c r="B39" s="1">
        <f>'shade check'!B36</f>
        <v>12</v>
      </c>
      <c r="C39" s="77" t="str">
        <f>'shade check'!C36</f>
        <v/>
      </c>
      <c r="D39" s="152" t="str">
        <f>Main!D35</f>
        <v>-</v>
      </c>
    </row>
    <row r="40" spans="2:37" ht="18" x14ac:dyDescent="0.25">
      <c r="B40" s="1">
        <f>'shade check'!B37</f>
        <v>13</v>
      </c>
      <c r="C40" s="77" t="str">
        <f>'shade check'!C37</f>
        <v/>
      </c>
      <c r="D40" s="152" t="str">
        <f>Main!D36</f>
        <v>-</v>
      </c>
    </row>
    <row r="41" spans="2:37" ht="18" x14ac:dyDescent="0.25">
      <c r="B41" s="1">
        <f>'shade check'!B38</f>
        <v>14</v>
      </c>
      <c r="C41" s="77" t="str">
        <f>'shade check'!C38</f>
        <v/>
      </c>
      <c r="D41" s="152" t="str">
        <f>Main!D37</f>
        <v>-</v>
      </c>
    </row>
    <row r="42" spans="2:37" ht="18" x14ac:dyDescent="0.25">
      <c r="B42" s="1">
        <f>'shade check'!B39</f>
        <v>15</v>
      </c>
      <c r="C42" s="77" t="str">
        <f>'shade check'!C39</f>
        <v/>
      </c>
      <c r="D42" s="152" t="str">
        <f>Main!D38</f>
        <v>-</v>
      </c>
    </row>
    <row r="43" spans="2:37" ht="18" x14ac:dyDescent="0.25">
      <c r="B43" s="1">
        <f>'shade check'!B40</f>
        <v>16</v>
      </c>
      <c r="C43" s="77" t="str">
        <f>'shade check'!C40</f>
        <v/>
      </c>
      <c r="D43" s="152" t="str">
        <f>Main!D39</f>
        <v>-</v>
      </c>
    </row>
    <row r="44" spans="2:37" ht="18" x14ac:dyDescent="0.25">
      <c r="B44" s="1">
        <f>'shade check'!B41</f>
        <v>17</v>
      </c>
      <c r="C44" s="77" t="str">
        <f>'shade check'!C41</f>
        <v/>
      </c>
      <c r="D44" s="152" t="str">
        <f>Main!D40</f>
        <v>-</v>
      </c>
    </row>
    <row r="45" spans="2:37" ht="18" x14ac:dyDescent="0.25">
      <c r="B45" s="1">
        <f>'shade check'!B42</f>
        <v>18</v>
      </c>
      <c r="C45" s="77" t="str">
        <f>'shade check'!C42</f>
        <v/>
      </c>
      <c r="D45" s="152" t="str">
        <f>Main!D41</f>
        <v>-</v>
      </c>
    </row>
    <row r="46" spans="2:37" ht="18" x14ac:dyDescent="0.25">
      <c r="B46" s="1">
        <f>'shade check'!B43</f>
        <v>19</v>
      </c>
      <c r="C46" s="77" t="str">
        <f>'shade check'!C43</f>
        <v/>
      </c>
      <c r="D46" s="152" t="str">
        <f>Main!D42</f>
        <v>-</v>
      </c>
    </row>
    <row r="47" spans="2:37" ht="18" x14ac:dyDescent="0.25">
      <c r="B47" s="1">
        <f>'shade check'!B44</f>
        <v>20</v>
      </c>
      <c r="C47" s="77" t="str">
        <f>'shade check'!C44</f>
        <v/>
      </c>
      <c r="D47" s="152" t="str">
        <f>Main!D43</f>
        <v>-</v>
      </c>
    </row>
    <row r="48" spans="2:37" x14ac:dyDescent="0.2">
      <c r="AK48" s="10" t="s">
        <v>207</v>
      </c>
    </row>
    <row r="49" spans="3:37" hidden="1" x14ac:dyDescent="0.2">
      <c r="C49" s="1">
        <f>'shade check'!C46</f>
        <v>1</v>
      </c>
      <c r="D49" s="1">
        <f>'shade check'!D46</f>
        <v>2</v>
      </c>
    </row>
    <row r="51" spans="3:37" x14ac:dyDescent="0.2">
      <c r="U51" s="10">
        <v>1</v>
      </c>
      <c r="V51" s="10" t="s">
        <v>53</v>
      </c>
      <c r="W51" s="10" t="s">
        <v>66</v>
      </c>
      <c r="X51" s="10"/>
      <c r="Y51" s="10"/>
      <c r="Z51" s="10"/>
      <c r="AA51" s="10" t="s">
        <v>11</v>
      </c>
      <c r="AB51" s="10"/>
      <c r="AC51" s="85" t="s">
        <v>43</v>
      </c>
      <c r="AD51" s="10" t="s">
        <v>44</v>
      </c>
      <c r="AE51" s="10">
        <f>Details!D18</f>
        <v>150</v>
      </c>
      <c r="AF51" s="10"/>
      <c r="AG51" s="10"/>
      <c r="AH51" s="10"/>
      <c r="AI51" s="10"/>
      <c r="AK51" s="10" t="s">
        <v>364</v>
      </c>
    </row>
    <row r="52" spans="3:37" x14ac:dyDescent="0.2">
      <c r="U52" s="10">
        <v>2</v>
      </c>
      <c r="V52" s="10"/>
      <c r="W52" s="10" t="s">
        <v>73</v>
      </c>
      <c r="X52" s="10"/>
      <c r="Y52" s="10"/>
      <c r="Z52" s="10"/>
      <c r="AA52" s="10" t="s">
        <v>13</v>
      </c>
      <c r="AB52" s="10"/>
      <c r="AC52" s="85" t="s">
        <v>45</v>
      </c>
      <c r="AD52" s="10" t="str">
        <f>IF(LEFT(Details!B23,1)="T","TURN BUCKLE","BOTTLE SCREW")</f>
        <v>TURN BUCKLE</v>
      </c>
      <c r="AE52" s="10">
        <f>Details!D23</f>
        <v>400</v>
      </c>
      <c r="AF52" s="10"/>
      <c r="AG52" s="10"/>
      <c r="AH52" s="10"/>
      <c r="AI52" s="10"/>
      <c r="AJ52" s="10"/>
      <c r="AK52" s="10" t="s">
        <v>365</v>
      </c>
    </row>
    <row r="53" spans="3:37" x14ac:dyDescent="0.2">
      <c r="U53" s="10">
        <v>3</v>
      </c>
      <c r="V53" s="10"/>
      <c r="W53" s="10" t="s">
        <v>78</v>
      </c>
      <c r="X53" s="10"/>
      <c r="Y53" s="10"/>
      <c r="Z53" s="10"/>
      <c r="AA53" s="10" t="s">
        <v>15</v>
      </c>
      <c r="AB53" s="10"/>
      <c r="AC53" s="85" t="s">
        <v>42</v>
      </c>
      <c r="AD53" s="10" t="s">
        <v>46</v>
      </c>
      <c r="AE53" s="10">
        <f>Details!D24</f>
        <v>80</v>
      </c>
      <c r="AF53" s="10"/>
      <c r="AG53" s="10"/>
      <c r="AH53" s="10"/>
      <c r="AI53" s="10"/>
      <c r="AJ53" s="10"/>
      <c r="AK53" s="10" t="s">
        <v>366</v>
      </c>
    </row>
    <row r="54" spans="3:37" x14ac:dyDescent="0.2">
      <c r="U54" s="10">
        <v>4</v>
      </c>
      <c r="V54" s="10"/>
      <c r="W54" s="10" t="s">
        <v>76</v>
      </c>
      <c r="X54" s="10"/>
      <c r="Y54" s="10"/>
      <c r="Z54" s="10"/>
      <c r="AA54" s="10"/>
      <c r="AB54" s="10"/>
      <c r="AC54" s="85" t="s">
        <v>2</v>
      </c>
      <c r="AD54" s="10" t="s">
        <v>47</v>
      </c>
      <c r="AE54" s="10" t="s">
        <v>2</v>
      </c>
      <c r="AF54" s="10"/>
      <c r="AG54" s="10"/>
      <c r="AH54" s="10"/>
      <c r="AI54" s="10"/>
      <c r="AJ54" s="10"/>
      <c r="AK54" s="10"/>
    </row>
    <row r="55" spans="3:37" x14ac:dyDescent="0.2">
      <c r="U55" s="10">
        <v>5</v>
      </c>
      <c r="V55" s="10"/>
      <c r="W55" s="10" t="s">
        <v>87</v>
      </c>
      <c r="X55" s="10"/>
      <c r="Y55" s="10"/>
      <c r="Z55" s="10"/>
      <c r="AA55" s="10"/>
      <c r="AB55" s="10"/>
      <c r="AC55" s="10"/>
      <c r="AD55" s="10" t="s">
        <v>48</v>
      </c>
      <c r="AE55" s="10" t="s">
        <v>2</v>
      </c>
      <c r="AF55" s="10"/>
      <c r="AG55" s="10"/>
      <c r="AH55" s="10"/>
      <c r="AI55" s="10"/>
      <c r="AJ55" s="10"/>
      <c r="AK55" s="10"/>
    </row>
    <row r="56" spans="3:37" x14ac:dyDescent="0.2">
      <c r="U56" s="10">
        <v>6</v>
      </c>
      <c r="V56" s="10"/>
      <c r="W56" s="10" t="s">
        <v>96</v>
      </c>
      <c r="X56" s="10"/>
      <c r="Y56" s="10"/>
      <c r="Z56" s="10"/>
      <c r="AA56" s="10"/>
      <c r="AB56" s="10"/>
      <c r="AC56" s="10"/>
      <c r="AD56" s="10" t="s">
        <v>2</v>
      </c>
      <c r="AE56" s="10" t="s">
        <v>2</v>
      </c>
      <c r="AF56" s="10"/>
      <c r="AG56" s="10"/>
      <c r="AH56" s="10"/>
      <c r="AI56" s="10"/>
      <c r="AJ56" s="10"/>
      <c r="AK56" s="10"/>
    </row>
    <row r="57" spans="3:37" x14ac:dyDescent="0.2">
      <c r="U57" s="10">
        <v>7</v>
      </c>
      <c r="V57" s="10"/>
      <c r="W57" s="10" t="s">
        <v>101</v>
      </c>
      <c r="X57" s="10"/>
      <c r="Y57" s="10"/>
      <c r="Z57" s="10"/>
      <c r="AA57" s="10"/>
      <c r="AB57" s="10"/>
      <c r="AC57" s="10"/>
      <c r="AD57" s="10"/>
      <c r="AE57" s="10"/>
      <c r="AF57" s="10"/>
      <c r="AG57" s="10"/>
      <c r="AH57" s="10"/>
      <c r="AI57" s="10"/>
      <c r="AJ57" s="10"/>
      <c r="AK57" s="10"/>
    </row>
    <row r="58" spans="3:37" ht="13.5" thickBot="1" x14ac:dyDescent="0.25">
      <c r="U58" s="10">
        <v>8</v>
      </c>
      <c r="V58" s="10"/>
      <c r="W58" s="10" t="s">
        <v>104</v>
      </c>
      <c r="X58" s="10"/>
      <c r="Y58" s="10"/>
      <c r="Z58" s="10"/>
      <c r="AA58" s="10"/>
      <c r="AB58" s="10"/>
      <c r="AC58" s="10"/>
      <c r="AD58" s="10"/>
      <c r="AE58" s="10"/>
      <c r="AF58" s="10"/>
      <c r="AG58" s="10"/>
      <c r="AH58" s="10"/>
      <c r="AI58" s="10"/>
      <c r="AJ58" s="10"/>
      <c r="AK58" s="10"/>
    </row>
    <row r="59" spans="3:37" ht="19.5" customHeight="1" x14ac:dyDescent="0.3">
      <c r="C59" s="267"/>
      <c r="D59" s="268"/>
      <c r="E59" s="268"/>
      <c r="F59" s="268"/>
      <c r="G59" s="268"/>
      <c r="H59" s="268"/>
      <c r="I59" s="268"/>
      <c r="J59" s="268"/>
      <c r="K59" s="268"/>
      <c r="L59" s="268"/>
      <c r="M59" s="268"/>
      <c r="N59" s="268"/>
      <c r="O59" s="269"/>
      <c r="P59" s="142"/>
      <c r="U59" s="10">
        <v>9</v>
      </c>
      <c r="V59" s="10"/>
      <c r="W59" s="10" t="s">
        <v>107</v>
      </c>
      <c r="X59" s="10"/>
      <c r="Y59" s="10"/>
      <c r="Z59" s="10"/>
      <c r="AA59" s="10"/>
      <c r="AB59" s="10"/>
      <c r="AC59" s="10"/>
      <c r="AD59" s="10"/>
      <c r="AE59" s="10"/>
      <c r="AF59" s="10"/>
      <c r="AG59" s="10"/>
      <c r="AH59" s="10"/>
      <c r="AI59" s="10"/>
      <c r="AJ59" s="10"/>
      <c r="AK59" s="10"/>
    </row>
    <row r="60" spans="3:37" ht="12.75" customHeight="1" x14ac:dyDescent="0.2">
      <c r="C60" s="270"/>
      <c r="D60" s="271"/>
      <c r="E60" s="271"/>
      <c r="F60" s="271"/>
      <c r="G60" s="271"/>
      <c r="H60" s="271"/>
      <c r="I60" s="271"/>
      <c r="J60" s="271"/>
      <c r="K60" s="271"/>
      <c r="L60" s="271"/>
      <c r="M60" s="271"/>
      <c r="N60" s="271"/>
      <c r="O60" s="272"/>
      <c r="P60" s="142"/>
      <c r="U60" s="10">
        <v>10</v>
      </c>
      <c r="V60" s="10"/>
      <c r="W60" s="10" t="s">
        <v>109</v>
      </c>
      <c r="X60" s="10"/>
      <c r="Y60" s="10"/>
      <c r="Z60" s="10"/>
      <c r="AA60" s="10"/>
      <c r="AB60" s="10"/>
      <c r="AC60" s="10"/>
      <c r="AD60" s="86">
        <v>0</v>
      </c>
      <c r="AE60" s="10"/>
      <c r="AF60" s="10"/>
      <c r="AG60" s="10"/>
      <c r="AH60" s="10"/>
      <c r="AI60" s="10"/>
      <c r="AJ60" s="10"/>
      <c r="AK60" s="10"/>
    </row>
    <row r="61" spans="3:37" ht="13.5" customHeight="1" x14ac:dyDescent="0.2">
      <c r="C61" s="270"/>
      <c r="D61" s="271"/>
      <c r="E61" s="271"/>
      <c r="F61" s="271"/>
      <c r="G61" s="271"/>
      <c r="H61" s="271"/>
      <c r="I61" s="271"/>
      <c r="J61" s="271"/>
      <c r="K61" s="271"/>
      <c r="L61" s="271"/>
      <c r="M61" s="271"/>
      <c r="N61" s="271"/>
      <c r="O61" s="272"/>
      <c r="P61" s="142"/>
      <c r="U61" s="10">
        <v>11</v>
      </c>
      <c r="V61" s="10"/>
      <c r="W61" s="10" t="s">
        <v>74</v>
      </c>
      <c r="X61" s="10"/>
      <c r="Y61" s="10"/>
      <c r="Z61" s="10"/>
      <c r="AA61" s="10"/>
      <c r="AB61" s="10"/>
      <c r="AC61" s="10"/>
      <c r="AD61" s="87">
        <v>0.04</v>
      </c>
      <c r="AE61" s="10"/>
      <c r="AF61" s="10"/>
      <c r="AG61" s="10"/>
      <c r="AH61" s="10"/>
      <c r="AI61" s="10"/>
      <c r="AJ61" s="10"/>
      <c r="AK61" s="10"/>
    </row>
    <row r="62" spans="3:37" ht="12.75" customHeight="1" thickBot="1" x14ac:dyDescent="0.25">
      <c r="C62" s="273"/>
      <c r="D62" s="274"/>
      <c r="E62" s="274"/>
      <c r="F62" s="274"/>
      <c r="G62" s="274"/>
      <c r="H62" s="274"/>
      <c r="I62" s="274"/>
      <c r="J62" s="274"/>
      <c r="K62" s="274"/>
      <c r="L62" s="274"/>
      <c r="M62" s="274"/>
      <c r="N62" s="274"/>
      <c r="O62" s="275"/>
      <c r="P62" s="142"/>
      <c r="U62" s="10">
        <v>12</v>
      </c>
      <c r="V62" s="10"/>
      <c r="W62" s="10" t="s">
        <v>115</v>
      </c>
      <c r="X62" s="10"/>
      <c r="Y62" s="10"/>
      <c r="Z62" s="10"/>
      <c r="AA62" s="10"/>
      <c r="AB62" s="10"/>
      <c r="AC62" s="10"/>
      <c r="AD62" s="87">
        <v>0.05</v>
      </c>
      <c r="AE62" s="10"/>
      <c r="AF62" s="10"/>
      <c r="AG62" s="10"/>
      <c r="AH62" s="10"/>
      <c r="AI62" s="10"/>
      <c r="AJ62" s="10"/>
      <c r="AK62" s="10"/>
    </row>
    <row r="63" spans="3:37" ht="12.75" customHeight="1" x14ac:dyDescent="0.2">
      <c r="C63" s="288" t="s">
        <v>426</v>
      </c>
      <c r="D63" s="289"/>
      <c r="E63" s="289"/>
      <c r="F63" s="289"/>
      <c r="G63" s="289"/>
      <c r="H63" s="289"/>
      <c r="I63" s="289"/>
      <c r="J63" s="289"/>
      <c r="K63" s="289"/>
      <c r="L63" s="289"/>
      <c r="M63" s="289"/>
      <c r="N63" s="289"/>
      <c r="O63" s="290"/>
      <c r="P63" s="142"/>
      <c r="U63" s="10">
        <v>13</v>
      </c>
      <c r="V63" s="10"/>
      <c r="W63" s="10" t="s">
        <v>116</v>
      </c>
      <c r="X63" s="10"/>
      <c r="Y63" s="10"/>
      <c r="Z63" s="10"/>
      <c r="AA63" s="10"/>
      <c r="AB63" s="10"/>
      <c r="AC63" s="10"/>
      <c r="AD63" s="87">
        <v>0.06</v>
      </c>
      <c r="AE63" s="10"/>
      <c r="AF63" s="10"/>
      <c r="AG63" s="10"/>
      <c r="AH63" s="10"/>
      <c r="AI63" s="10"/>
      <c r="AJ63" s="10"/>
      <c r="AK63" s="10"/>
    </row>
    <row r="64" spans="3:37" ht="12.75" customHeight="1" x14ac:dyDescent="0.2">
      <c r="C64" s="291"/>
      <c r="D64" s="292"/>
      <c r="E64" s="292"/>
      <c r="F64" s="292"/>
      <c r="G64" s="292"/>
      <c r="H64" s="292"/>
      <c r="I64" s="292"/>
      <c r="J64" s="292"/>
      <c r="K64" s="292"/>
      <c r="L64" s="292"/>
      <c r="M64" s="292"/>
      <c r="N64" s="292"/>
      <c r="O64" s="293"/>
      <c r="P64" s="142"/>
      <c r="U64" s="10">
        <v>14</v>
      </c>
      <c r="V64" s="10"/>
      <c r="W64" s="10" t="s">
        <v>118</v>
      </c>
      <c r="X64" s="10"/>
      <c r="Y64" s="10"/>
      <c r="Z64" s="10"/>
      <c r="AA64" s="10"/>
      <c r="AB64" s="10"/>
      <c r="AC64" s="10"/>
      <c r="AD64" s="87">
        <v>7.0000000000000007E-2</v>
      </c>
      <c r="AE64" s="10"/>
      <c r="AF64" s="10"/>
      <c r="AG64" s="10"/>
      <c r="AH64" s="10"/>
      <c r="AI64" s="10"/>
      <c r="AJ64" s="10"/>
      <c r="AK64" s="10"/>
    </row>
    <row r="65" spans="3:37" ht="68.099999999999994" customHeight="1" thickBot="1" x14ac:dyDescent="0.25">
      <c r="C65" s="294"/>
      <c r="D65" s="295"/>
      <c r="E65" s="295"/>
      <c r="F65" s="295"/>
      <c r="G65" s="295"/>
      <c r="H65" s="295"/>
      <c r="I65" s="295"/>
      <c r="J65" s="295"/>
      <c r="K65" s="295"/>
      <c r="L65" s="295"/>
      <c r="M65" s="295"/>
      <c r="N65" s="295"/>
      <c r="O65" s="296"/>
      <c r="P65" s="142"/>
      <c r="U65" s="10">
        <v>15</v>
      </c>
      <c r="V65" s="10"/>
      <c r="W65" s="10" t="s">
        <v>95</v>
      </c>
      <c r="X65" s="10"/>
      <c r="Y65" s="10"/>
      <c r="Z65" s="10"/>
      <c r="AA65" s="10"/>
      <c r="AB65" s="10"/>
      <c r="AC65" s="10"/>
      <c r="AD65" s="87">
        <v>0.08</v>
      </c>
      <c r="AE65" s="10"/>
      <c r="AF65" s="10"/>
      <c r="AG65" s="10"/>
      <c r="AH65" s="10"/>
      <c r="AI65" s="10"/>
      <c r="AJ65" s="10"/>
      <c r="AK65" s="10"/>
    </row>
    <row r="66" spans="3:37" ht="12.75" customHeight="1" x14ac:dyDescent="0.2">
      <c r="C66" s="297"/>
      <c r="D66" s="298"/>
      <c r="E66" s="298"/>
      <c r="F66" s="298"/>
      <c r="G66" s="298"/>
      <c r="H66" s="298"/>
      <c r="I66" s="298"/>
      <c r="J66" s="298"/>
      <c r="K66" s="298"/>
      <c r="L66" s="298"/>
      <c r="M66" s="298"/>
      <c r="N66" s="298"/>
      <c r="O66" s="299"/>
      <c r="P66" s="142"/>
      <c r="U66" s="10">
        <v>16</v>
      </c>
      <c r="V66" s="10"/>
      <c r="W66" s="10" t="s">
        <v>120</v>
      </c>
      <c r="X66" s="10"/>
      <c r="Y66" s="10"/>
      <c r="Z66" s="10"/>
      <c r="AA66" s="10"/>
      <c r="AB66" s="10"/>
      <c r="AC66" s="10"/>
      <c r="AD66" s="10"/>
      <c r="AE66" s="10"/>
      <c r="AF66" s="10"/>
      <c r="AG66" s="10"/>
      <c r="AH66" s="10"/>
      <c r="AI66" s="10"/>
      <c r="AJ66" s="10"/>
      <c r="AK66" s="10"/>
    </row>
    <row r="67" spans="3:37" ht="12.75" customHeight="1" x14ac:dyDescent="0.2">
      <c r="C67" s="297"/>
      <c r="D67" s="298"/>
      <c r="E67" s="298"/>
      <c r="F67" s="298"/>
      <c r="G67" s="298"/>
      <c r="H67" s="298"/>
      <c r="I67" s="298"/>
      <c r="J67" s="298"/>
      <c r="K67" s="298"/>
      <c r="L67" s="298"/>
      <c r="M67" s="298"/>
      <c r="N67" s="298"/>
      <c r="O67" s="299"/>
      <c r="P67" s="142"/>
      <c r="U67" s="10">
        <v>17</v>
      </c>
      <c r="V67" s="10"/>
      <c r="W67" s="10" t="s">
        <v>121</v>
      </c>
      <c r="X67" s="10"/>
      <c r="Y67" s="10"/>
      <c r="Z67" s="10"/>
      <c r="AA67" s="10"/>
      <c r="AB67" s="10"/>
      <c r="AC67" s="10"/>
      <c r="AD67" s="10"/>
      <c r="AE67" s="10"/>
      <c r="AF67" s="10"/>
      <c r="AG67" s="10"/>
      <c r="AH67" s="10"/>
      <c r="AI67" s="10"/>
      <c r="AJ67" s="10"/>
      <c r="AK67" s="10"/>
    </row>
    <row r="68" spans="3:37" ht="12.75" customHeight="1" x14ac:dyDescent="0.2">
      <c r="C68" s="297"/>
      <c r="D68" s="298"/>
      <c r="E68" s="298"/>
      <c r="F68" s="298"/>
      <c r="G68" s="298"/>
      <c r="H68" s="298"/>
      <c r="I68" s="298"/>
      <c r="J68" s="298"/>
      <c r="K68" s="298"/>
      <c r="L68" s="298"/>
      <c r="M68" s="298"/>
      <c r="N68" s="298"/>
      <c r="O68" s="299"/>
      <c r="P68" s="142"/>
      <c r="U68" s="10">
        <v>18</v>
      </c>
      <c r="V68" s="10"/>
      <c r="W68" s="10" t="s">
        <v>106</v>
      </c>
      <c r="X68" s="10"/>
      <c r="Y68" s="10"/>
      <c r="Z68" s="10"/>
      <c r="AA68" s="10"/>
      <c r="AB68" s="10"/>
      <c r="AC68" s="10"/>
      <c r="AD68" s="10"/>
      <c r="AE68" s="10"/>
      <c r="AF68" s="10"/>
      <c r="AG68" s="10"/>
      <c r="AH68" s="10"/>
      <c r="AI68" s="10"/>
      <c r="AJ68" s="10"/>
      <c r="AK68" s="10"/>
    </row>
    <row r="69" spans="3:37" ht="12.75" customHeight="1" thickBot="1" x14ac:dyDescent="0.25">
      <c r="C69" s="300"/>
      <c r="D69" s="301"/>
      <c r="E69" s="301"/>
      <c r="F69" s="301"/>
      <c r="G69" s="301"/>
      <c r="H69" s="301"/>
      <c r="I69" s="301"/>
      <c r="J69" s="301"/>
      <c r="K69" s="301"/>
      <c r="L69" s="301"/>
      <c r="M69" s="301"/>
      <c r="N69" s="301"/>
      <c r="O69" s="302"/>
      <c r="P69" s="142"/>
      <c r="U69" s="10">
        <v>19</v>
      </c>
      <c r="V69" s="10"/>
      <c r="W69" s="10"/>
      <c r="X69" s="10"/>
      <c r="Y69" s="10"/>
      <c r="Z69" s="10"/>
      <c r="AA69" s="10"/>
      <c r="AB69" s="10"/>
      <c r="AC69" s="10"/>
      <c r="AD69" s="10" t="s">
        <v>49</v>
      </c>
      <c r="AE69" s="10"/>
      <c r="AF69" s="10"/>
      <c r="AG69" s="10"/>
      <c r="AH69" s="10"/>
      <c r="AI69" s="10"/>
      <c r="AJ69" s="10"/>
      <c r="AK69" s="10"/>
    </row>
    <row r="70" spans="3:37" ht="12.75" customHeight="1" x14ac:dyDescent="0.2">
      <c r="C70" s="142"/>
      <c r="D70" s="142"/>
      <c r="E70" s="142"/>
      <c r="F70" s="142"/>
      <c r="G70" s="142"/>
      <c r="H70" s="142"/>
      <c r="I70" s="142"/>
      <c r="J70" s="142"/>
      <c r="K70" s="142"/>
      <c r="L70" s="142"/>
      <c r="M70" s="142"/>
      <c r="N70" s="142"/>
      <c r="O70" s="142"/>
      <c r="P70" s="142"/>
      <c r="U70" s="10">
        <v>1</v>
      </c>
      <c r="V70" s="10" t="s">
        <v>54</v>
      </c>
      <c r="W70" s="10" t="s">
        <v>67</v>
      </c>
      <c r="X70" s="10"/>
      <c r="Y70" s="10"/>
      <c r="Z70" s="10"/>
      <c r="AA70" s="10"/>
      <c r="AB70" s="10"/>
      <c r="AC70" s="10"/>
      <c r="AD70" s="10" t="s">
        <v>2</v>
      </c>
      <c r="AE70" s="10"/>
      <c r="AF70" s="10">
        <v>3</v>
      </c>
      <c r="AG70" s="10"/>
      <c r="AH70" s="10"/>
      <c r="AI70" s="10"/>
      <c r="AJ70" s="10"/>
      <c r="AK70" s="10"/>
    </row>
    <row r="71" spans="3:37" ht="12.75" customHeight="1" x14ac:dyDescent="0.2">
      <c r="C71" s="142"/>
      <c r="D71" s="142"/>
      <c r="E71" s="142"/>
      <c r="F71" s="142"/>
      <c r="G71" s="142"/>
      <c r="H71" s="142"/>
      <c r="I71" s="142"/>
      <c r="J71" s="142"/>
      <c r="K71" s="142"/>
      <c r="L71" s="142"/>
      <c r="M71" s="142"/>
      <c r="N71" s="142"/>
      <c r="O71" s="142"/>
      <c r="P71" s="142"/>
      <c r="U71" s="10">
        <v>2</v>
      </c>
      <c r="V71" s="10"/>
      <c r="W71" s="10" t="s">
        <v>74</v>
      </c>
      <c r="X71" s="10"/>
      <c r="Y71" s="10"/>
      <c r="Z71" s="10"/>
      <c r="AA71" s="10"/>
      <c r="AB71" s="10"/>
      <c r="AC71" s="10"/>
      <c r="AD71" s="10"/>
      <c r="AE71" s="10"/>
      <c r="AF71" s="10">
        <v>4</v>
      </c>
      <c r="AG71" s="10"/>
      <c r="AH71" s="10"/>
      <c r="AI71" s="10"/>
      <c r="AJ71" s="10"/>
      <c r="AK71" s="10"/>
    </row>
    <row r="72" spans="3:37" ht="12.75" customHeight="1" x14ac:dyDescent="0.2">
      <c r="C72" s="142"/>
      <c r="D72" s="142"/>
      <c r="E72" s="142"/>
      <c r="F72" s="142"/>
      <c r="G72" s="142"/>
      <c r="H72" s="142"/>
      <c r="I72" s="142"/>
      <c r="J72" s="142"/>
      <c r="K72" s="142"/>
      <c r="L72" s="142"/>
      <c r="M72" s="142"/>
      <c r="N72" s="142"/>
      <c r="O72" s="142"/>
      <c r="P72" s="142"/>
      <c r="U72" s="10">
        <v>3</v>
      </c>
      <c r="V72" s="10"/>
      <c r="W72" s="10" t="s">
        <v>79</v>
      </c>
      <c r="X72" s="10"/>
      <c r="Y72" s="10"/>
      <c r="Z72" s="10"/>
      <c r="AA72" s="10"/>
      <c r="AB72" s="10"/>
      <c r="AC72" s="10"/>
      <c r="AD72" s="10" t="s">
        <v>50</v>
      </c>
      <c r="AE72" s="10"/>
      <c r="AF72" s="10">
        <v>5</v>
      </c>
      <c r="AG72" s="10"/>
      <c r="AH72" s="10"/>
      <c r="AI72" s="10"/>
      <c r="AJ72" s="10"/>
      <c r="AK72" s="10"/>
    </row>
    <row r="73" spans="3:37" ht="12.75" customHeight="1" x14ac:dyDescent="0.2">
      <c r="C73" s="142"/>
      <c r="D73" s="142"/>
      <c r="E73" s="142"/>
      <c r="F73" s="142"/>
      <c r="G73" s="142"/>
      <c r="H73" s="142"/>
      <c r="I73" s="142"/>
      <c r="J73" s="142"/>
      <c r="K73" s="142"/>
      <c r="L73" s="142"/>
      <c r="M73" s="142"/>
      <c r="N73" s="142"/>
      <c r="O73" s="142"/>
      <c r="P73" s="142"/>
      <c r="U73" s="10">
        <v>4</v>
      </c>
      <c r="V73" s="10"/>
      <c r="W73" s="10" t="s">
        <v>81</v>
      </c>
      <c r="X73" s="10"/>
      <c r="Y73" s="10"/>
      <c r="Z73" s="10"/>
      <c r="AA73" s="10"/>
      <c r="AB73" s="10"/>
      <c r="AC73" s="10"/>
      <c r="AD73" s="10" t="s">
        <v>2</v>
      </c>
      <c r="AE73" s="10"/>
      <c r="AF73" s="10">
        <v>6</v>
      </c>
      <c r="AG73" s="10"/>
      <c r="AH73" s="10"/>
      <c r="AI73" s="10"/>
      <c r="AJ73" s="10"/>
      <c r="AK73" s="10"/>
    </row>
    <row r="74" spans="3:37" x14ac:dyDescent="0.2">
      <c r="U74" s="10">
        <v>5</v>
      </c>
      <c r="V74" s="10"/>
      <c r="W74" s="10" t="s">
        <v>69</v>
      </c>
      <c r="X74" s="10"/>
      <c r="Y74" s="10"/>
      <c r="Z74" s="10"/>
      <c r="AA74" s="10"/>
      <c r="AB74" s="10"/>
      <c r="AC74" s="10"/>
      <c r="AD74" s="10"/>
      <c r="AE74" s="10"/>
      <c r="AF74" s="10">
        <v>7</v>
      </c>
      <c r="AG74" s="10"/>
      <c r="AH74" s="10"/>
      <c r="AI74" s="10"/>
      <c r="AJ74" s="10"/>
      <c r="AK74" s="10"/>
    </row>
    <row r="75" spans="3:37" x14ac:dyDescent="0.2">
      <c r="U75" s="10">
        <v>6</v>
      </c>
      <c r="V75" s="10"/>
      <c r="W75" s="10" t="s">
        <v>66</v>
      </c>
      <c r="X75" s="10"/>
      <c r="Y75" s="10"/>
      <c r="Z75" s="10"/>
      <c r="AA75" s="10"/>
      <c r="AB75" s="10"/>
      <c r="AC75" s="10"/>
      <c r="AD75" s="10"/>
      <c r="AE75" s="10"/>
      <c r="AF75" s="10">
        <v>8</v>
      </c>
      <c r="AG75" s="10"/>
      <c r="AH75" s="10"/>
      <c r="AI75" s="10"/>
      <c r="AJ75" s="10"/>
      <c r="AK75" s="10"/>
    </row>
    <row r="76" spans="3:37" x14ac:dyDescent="0.2">
      <c r="U76" s="10">
        <v>7</v>
      </c>
      <c r="V76" s="10"/>
      <c r="W76" s="10" t="s">
        <v>102</v>
      </c>
      <c r="X76" s="10"/>
      <c r="Y76" s="10"/>
      <c r="Z76" s="10"/>
      <c r="AA76" s="10"/>
      <c r="AB76" s="10"/>
      <c r="AC76" s="10"/>
      <c r="AD76" s="10"/>
      <c r="AE76" s="10"/>
      <c r="AF76" s="10"/>
      <c r="AG76" s="10"/>
      <c r="AH76" s="10"/>
      <c r="AI76" s="10"/>
      <c r="AJ76" s="10"/>
      <c r="AK76" s="10"/>
    </row>
    <row r="77" spans="3:37" x14ac:dyDescent="0.2">
      <c r="U77" s="10">
        <v>8</v>
      </c>
      <c r="V77" s="10"/>
      <c r="W77" s="10" t="s">
        <v>105</v>
      </c>
      <c r="X77" s="10"/>
      <c r="Y77" s="10"/>
      <c r="Z77" s="10"/>
      <c r="AA77" s="10"/>
      <c r="AB77" s="10"/>
      <c r="AC77" s="10"/>
      <c r="AD77" s="10"/>
      <c r="AE77" s="10"/>
      <c r="AF77" s="10"/>
      <c r="AG77" s="10"/>
      <c r="AH77" s="10"/>
      <c r="AI77" s="10"/>
      <c r="AJ77" s="10"/>
      <c r="AK77" s="10"/>
    </row>
    <row r="78" spans="3:37" x14ac:dyDescent="0.2">
      <c r="U78" s="10">
        <v>9</v>
      </c>
      <c r="V78" s="10"/>
      <c r="W78" s="10" t="s">
        <v>123</v>
      </c>
      <c r="X78" s="10"/>
      <c r="Y78" s="10"/>
      <c r="Z78" s="10"/>
      <c r="AA78" s="10"/>
      <c r="AB78" s="10"/>
      <c r="AC78" s="10"/>
      <c r="AD78" s="10"/>
      <c r="AE78" s="10"/>
      <c r="AF78" s="10"/>
      <c r="AG78" s="10"/>
      <c r="AH78" s="10"/>
      <c r="AI78" s="10"/>
      <c r="AJ78" s="10"/>
      <c r="AK78" s="10"/>
    </row>
    <row r="79" spans="3:37" x14ac:dyDescent="0.2">
      <c r="U79" s="10">
        <v>10</v>
      </c>
      <c r="V79" s="10"/>
      <c r="W79" s="10" t="s">
        <v>110</v>
      </c>
      <c r="X79" s="10"/>
      <c r="Y79" s="10"/>
      <c r="Z79" s="10"/>
      <c r="AA79" s="10"/>
      <c r="AB79" s="10"/>
      <c r="AC79" s="10"/>
      <c r="AD79" s="10"/>
      <c r="AE79" s="10"/>
      <c r="AF79" s="10"/>
      <c r="AG79" s="10"/>
      <c r="AH79" s="10"/>
      <c r="AI79" s="10"/>
      <c r="AJ79" s="10"/>
      <c r="AK79" s="10"/>
    </row>
    <row r="80" spans="3:37" x14ac:dyDescent="0.2">
      <c r="U80" s="10">
        <v>11</v>
      </c>
      <c r="V80" s="10"/>
      <c r="W80" s="10" t="s">
        <v>113</v>
      </c>
      <c r="X80" s="10"/>
      <c r="Y80" s="10"/>
      <c r="Z80" s="10"/>
      <c r="AA80" s="10"/>
      <c r="AB80" s="10"/>
      <c r="AC80" s="10"/>
      <c r="AD80" s="10"/>
      <c r="AE80" s="10"/>
      <c r="AF80" s="10"/>
      <c r="AG80" s="10"/>
      <c r="AH80" s="10"/>
      <c r="AI80" s="10"/>
      <c r="AJ80" s="10"/>
      <c r="AK80" s="10"/>
    </row>
    <row r="81" spans="21:40" x14ac:dyDescent="0.2">
      <c r="U81" s="10">
        <v>12</v>
      </c>
      <c r="V81" s="10"/>
      <c r="W81" s="10" t="s">
        <v>115</v>
      </c>
      <c r="X81" s="10"/>
      <c r="Y81" s="10"/>
      <c r="Z81" s="10"/>
      <c r="AA81" s="10"/>
      <c r="AB81" s="10" t="s">
        <v>26</v>
      </c>
      <c r="AC81" s="10"/>
      <c r="AD81" s="10"/>
      <c r="AE81" s="10"/>
      <c r="AF81" s="10"/>
      <c r="AG81" s="10"/>
      <c r="AH81" s="10"/>
      <c r="AI81" s="10"/>
      <c r="AJ81" s="10"/>
      <c r="AK81" s="10"/>
    </row>
    <row r="82" spans="21:40" x14ac:dyDescent="0.2">
      <c r="U82" s="10">
        <v>13</v>
      </c>
      <c r="V82" s="10"/>
      <c r="W82" s="10" t="s">
        <v>117</v>
      </c>
      <c r="X82" s="10"/>
      <c r="Y82" s="10"/>
      <c r="Z82" s="10"/>
      <c r="AA82" s="10"/>
      <c r="AB82" s="10" t="s">
        <v>52</v>
      </c>
      <c r="AC82" s="10"/>
      <c r="AD82" s="10"/>
      <c r="AE82" s="10"/>
      <c r="AF82" s="10"/>
      <c r="AG82" s="10"/>
      <c r="AH82" s="10"/>
      <c r="AI82" s="10"/>
      <c r="AJ82" s="10"/>
      <c r="AK82" s="10"/>
    </row>
    <row r="83" spans="21:40" x14ac:dyDescent="0.2">
      <c r="U83" s="10">
        <v>14</v>
      </c>
      <c r="V83" s="10"/>
      <c r="W83" s="10"/>
      <c r="X83" s="10"/>
      <c r="Y83" s="10"/>
      <c r="Z83" s="10"/>
      <c r="AA83" s="10"/>
      <c r="AB83" s="10"/>
      <c r="AC83" s="10"/>
      <c r="AD83" s="10"/>
      <c r="AE83" s="10"/>
      <c r="AF83" s="10"/>
      <c r="AG83" s="10"/>
      <c r="AH83" s="10"/>
      <c r="AI83" s="10"/>
      <c r="AJ83" s="10"/>
      <c r="AK83" s="10"/>
    </row>
    <row r="84" spans="21:40" x14ac:dyDescent="0.2">
      <c r="U84" s="10">
        <v>15</v>
      </c>
      <c r="V84" s="10"/>
      <c r="W84" s="10"/>
      <c r="X84" s="10"/>
      <c r="Y84" s="10"/>
      <c r="Z84" s="10"/>
      <c r="AA84" s="10"/>
      <c r="AB84" s="10"/>
      <c r="AC84" s="10"/>
      <c r="AD84" s="10"/>
      <c r="AE84" s="10"/>
      <c r="AF84" s="10"/>
      <c r="AG84" s="10"/>
      <c r="AH84" s="10"/>
      <c r="AI84" s="10"/>
      <c r="AJ84" s="10"/>
      <c r="AK84" s="10"/>
    </row>
    <row r="85" spans="21:40" x14ac:dyDescent="0.2">
      <c r="U85" s="10">
        <v>16</v>
      </c>
      <c r="V85" s="10"/>
      <c r="W85" s="10"/>
      <c r="X85" s="10"/>
      <c r="Y85" s="10"/>
      <c r="Z85" s="10"/>
      <c r="AA85" s="10"/>
      <c r="AB85" s="10"/>
      <c r="AC85" s="10"/>
      <c r="AD85" s="10"/>
      <c r="AE85" s="10"/>
      <c r="AF85" s="10"/>
      <c r="AG85" s="10"/>
      <c r="AH85" s="10"/>
      <c r="AI85" s="10"/>
      <c r="AJ85" s="10"/>
      <c r="AK85" s="10"/>
    </row>
    <row r="86" spans="21:40" x14ac:dyDescent="0.2">
      <c r="U86" s="10">
        <v>17</v>
      </c>
      <c r="V86" s="10"/>
      <c r="W86" s="10"/>
      <c r="X86" s="10"/>
      <c r="Y86" s="10"/>
      <c r="Z86" s="10"/>
      <c r="AA86" s="10"/>
      <c r="AB86" s="10"/>
      <c r="AC86" s="10"/>
      <c r="AD86" s="10"/>
      <c r="AE86" s="10"/>
      <c r="AF86" s="10"/>
      <c r="AG86" s="10"/>
      <c r="AH86" s="10"/>
      <c r="AI86" s="10"/>
      <c r="AJ86" s="10"/>
      <c r="AK86" s="10"/>
    </row>
    <row r="87" spans="21:40" x14ac:dyDescent="0.2">
      <c r="U87" s="10">
        <v>18</v>
      </c>
      <c r="V87" s="10"/>
      <c r="W87" s="10"/>
      <c r="X87" s="10"/>
      <c r="Y87" s="10"/>
      <c r="Z87" s="10"/>
      <c r="AA87" s="10"/>
      <c r="AB87" s="10"/>
      <c r="AC87" s="10"/>
      <c r="AD87" s="10"/>
      <c r="AE87" s="10"/>
      <c r="AF87" s="10"/>
      <c r="AG87" s="10"/>
      <c r="AH87" s="10"/>
      <c r="AI87" s="10"/>
      <c r="AJ87" s="10"/>
      <c r="AK87" s="10"/>
    </row>
    <row r="88" spans="21:40" x14ac:dyDescent="0.2">
      <c r="U88" s="10">
        <v>19</v>
      </c>
      <c r="V88" s="10"/>
      <c r="W88" s="10"/>
      <c r="X88" s="10"/>
      <c r="Y88" s="10"/>
      <c r="Z88" s="10"/>
      <c r="AA88" s="10"/>
      <c r="AB88" s="10"/>
      <c r="AC88" s="10"/>
      <c r="AD88" s="10"/>
      <c r="AE88" s="10"/>
      <c r="AF88" s="10"/>
      <c r="AG88" s="10"/>
      <c r="AH88" s="10"/>
      <c r="AI88" s="10"/>
      <c r="AJ88" s="10"/>
      <c r="AK88" s="10"/>
    </row>
    <row r="89" spans="21:40" x14ac:dyDescent="0.2">
      <c r="U89" s="10">
        <v>1</v>
      </c>
      <c r="V89" s="10" t="s">
        <v>55</v>
      </c>
      <c r="W89" s="10" t="s">
        <v>68</v>
      </c>
      <c r="X89" s="10"/>
      <c r="Y89" s="10"/>
      <c r="Z89" s="10"/>
      <c r="AA89" s="10"/>
      <c r="AB89" s="10"/>
      <c r="AC89" s="10"/>
      <c r="AD89" s="10"/>
      <c r="AE89" s="10"/>
      <c r="AF89" s="10"/>
      <c r="AG89" s="10"/>
      <c r="AH89" s="10"/>
      <c r="AI89" s="10"/>
      <c r="AJ89" s="10"/>
      <c r="AK89" s="10"/>
    </row>
    <row r="90" spans="21:40" x14ac:dyDescent="0.2">
      <c r="U90" s="10">
        <v>2</v>
      </c>
      <c r="V90" s="10"/>
      <c r="W90" s="10" t="s">
        <v>75</v>
      </c>
      <c r="X90" s="10"/>
      <c r="Y90" s="10"/>
      <c r="Z90" s="10"/>
      <c r="AA90" s="10"/>
      <c r="AB90" s="10"/>
      <c r="AC90" s="10"/>
      <c r="AD90" s="10"/>
      <c r="AE90" s="10"/>
      <c r="AF90" s="10"/>
      <c r="AG90" s="10"/>
      <c r="AH90" s="10"/>
      <c r="AI90" s="10"/>
      <c r="AJ90" s="10"/>
      <c r="AK90" s="10"/>
    </row>
    <row r="91" spans="21:40" x14ac:dyDescent="0.2">
      <c r="U91" s="10">
        <v>3</v>
      </c>
      <c r="V91" s="10"/>
      <c r="W91" s="10" t="s">
        <v>80</v>
      </c>
      <c r="X91" s="10"/>
      <c r="Y91" s="10"/>
      <c r="Z91" s="10"/>
      <c r="AA91" s="10"/>
      <c r="AB91" s="10"/>
      <c r="AC91" s="10"/>
      <c r="AD91" s="10"/>
      <c r="AE91" s="10"/>
      <c r="AF91" s="10"/>
      <c r="AG91" s="10"/>
      <c r="AH91" s="10"/>
      <c r="AI91" s="10"/>
      <c r="AJ91" s="10"/>
      <c r="AK91" s="10"/>
    </row>
    <row r="92" spans="21:40" x14ac:dyDescent="0.2">
      <c r="U92" s="10">
        <v>4</v>
      </c>
      <c r="V92" s="10"/>
      <c r="W92" s="10" t="s">
        <v>85</v>
      </c>
      <c r="X92" s="10"/>
      <c r="Y92" s="10"/>
      <c r="Z92" s="10"/>
      <c r="AA92" s="10"/>
      <c r="AB92" s="10"/>
      <c r="AC92" s="10"/>
      <c r="AD92" s="10"/>
      <c r="AE92" s="10"/>
      <c r="AF92" s="10"/>
      <c r="AG92" s="10"/>
      <c r="AH92" s="10"/>
      <c r="AI92" s="10"/>
      <c r="AJ92" s="10"/>
      <c r="AK92" s="10"/>
    </row>
    <row r="93" spans="21:40" x14ac:dyDescent="0.2">
      <c r="U93" s="10">
        <v>5</v>
      </c>
      <c r="V93" s="10"/>
      <c r="W93" s="10" t="s">
        <v>90</v>
      </c>
      <c r="X93" s="10"/>
      <c r="Y93" s="10"/>
      <c r="Z93" s="10"/>
      <c r="AA93" s="10"/>
      <c r="AB93" s="10"/>
      <c r="AC93" s="10"/>
      <c r="AD93" s="10"/>
      <c r="AE93" s="10"/>
      <c r="AF93" s="10" t="s">
        <v>53</v>
      </c>
      <c r="AG93" s="10" t="s">
        <v>54</v>
      </c>
      <c r="AH93" s="10" t="s">
        <v>55</v>
      </c>
      <c r="AI93" s="10" t="s">
        <v>56</v>
      </c>
      <c r="AJ93" s="10" t="s">
        <v>57</v>
      </c>
      <c r="AK93" s="10" t="s">
        <v>58</v>
      </c>
      <c r="AL93" s="1" t="s">
        <v>32</v>
      </c>
      <c r="AM93" s="1" t="s">
        <v>59</v>
      </c>
      <c r="AN93" s="1" t="s">
        <v>60</v>
      </c>
    </row>
    <row r="94" spans="21:40" x14ac:dyDescent="0.2">
      <c r="U94" s="10">
        <v>6</v>
      </c>
      <c r="V94" s="10"/>
      <c r="W94" s="10" t="s">
        <v>97</v>
      </c>
      <c r="X94" s="10"/>
      <c r="Y94" s="10"/>
      <c r="Z94" s="10"/>
      <c r="AA94" s="10" t="s">
        <v>53</v>
      </c>
      <c r="AB94" s="10"/>
      <c r="AC94" s="10"/>
      <c r="AD94" s="88" t="e">
        <f>HLOOKUP($F$6,$AF$93:$AN$111,2,FALSE)</f>
        <v>#N/A</v>
      </c>
      <c r="AE94" s="10"/>
      <c r="AF94" s="10" t="s">
        <v>66</v>
      </c>
      <c r="AG94" s="10" t="s">
        <v>67</v>
      </c>
      <c r="AH94" s="10" t="s">
        <v>68</v>
      </c>
      <c r="AI94" s="10" t="s">
        <v>69</v>
      </c>
      <c r="AJ94" s="10" t="s">
        <v>69</v>
      </c>
      <c r="AK94" s="10" t="s">
        <v>66</v>
      </c>
      <c r="AL94" s="1" t="s">
        <v>70</v>
      </c>
      <c r="AM94" s="1" t="s">
        <v>70</v>
      </c>
      <c r="AN94" s="1" t="s">
        <v>71</v>
      </c>
    </row>
    <row r="95" spans="21:40" x14ac:dyDescent="0.2">
      <c r="U95" s="10">
        <v>7</v>
      </c>
      <c r="V95" s="10"/>
      <c r="W95" s="10" t="s">
        <v>103</v>
      </c>
      <c r="X95" s="10"/>
      <c r="Y95" s="10"/>
      <c r="Z95" s="10"/>
      <c r="AA95" s="10" t="s">
        <v>54</v>
      </c>
      <c r="AB95" s="10"/>
      <c r="AC95" s="10"/>
      <c r="AD95" s="89" t="e">
        <f>HLOOKUP($F$6,$AF$93:$AN$111,3,FALSE)</f>
        <v>#N/A</v>
      </c>
      <c r="AE95" s="10"/>
      <c r="AF95" s="10" t="s">
        <v>73</v>
      </c>
      <c r="AG95" s="10" t="s">
        <v>74</v>
      </c>
      <c r="AH95" s="10" t="s">
        <v>75</v>
      </c>
      <c r="AI95" s="10" t="s">
        <v>66</v>
      </c>
      <c r="AJ95" s="10" t="s">
        <v>66</v>
      </c>
      <c r="AK95" s="10" t="s">
        <v>76</v>
      </c>
      <c r="AL95" s="1" t="s">
        <v>71</v>
      </c>
      <c r="AM95" s="1" t="s">
        <v>71</v>
      </c>
      <c r="AN95" s="1" t="s">
        <v>70</v>
      </c>
    </row>
    <row r="96" spans="21:40" x14ac:dyDescent="0.2">
      <c r="U96" s="10">
        <v>8</v>
      </c>
      <c r="V96" s="10"/>
      <c r="W96" s="10" t="s">
        <v>95</v>
      </c>
      <c r="X96" s="10"/>
      <c r="Y96" s="10"/>
      <c r="Z96" s="10"/>
      <c r="AA96" s="10" t="s">
        <v>55</v>
      </c>
      <c r="AB96" s="10"/>
      <c r="AC96" s="10"/>
      <c r="AD96" s="89" t="e">
        <f>HLOOKUP($F$6,$AF$93:$AN$111,4,FALSE)</f>
        <v>#N/A</v>
      </c>
      <c r="AE96" s="10"/>
      <c r="AF96" s="10" t="s">
        <v>78</v>
      </c>
      <c r="AG96" s="10" t="s">
        <v>79</v>
      </c>
      <c r="AH96" s="10" t="s">
        <v>80</v>
      </c>
      <c r="AI96" s="10" t="s">
        <v>81</v>
      </c>
      <c r="AJ96" s="10" t="s">
        <v>82</v>
      </c>
      <c r="AK96" s="10" t="s">
        <v>73</v>
      </c>
      <c r="AL96" s="1" t="s">
        <v>83</v>
      </c>
      <c r="AM96" s="1" t="s">
        <v>83</v>
      </c>
      <c r="AN96" s="1" t="s">
        <v>84</v>
      </c>
    </row>
    <row r="97" spans="21:40" x14ac:dyDescent="0.2">
      <c r="U97" s="10">
        <v>9</v>
      </c>
      <c r="V97" s="10"/>
      <c r="W97" s="10" t="s">
        <v>108</v>
      </c>
      <c r="X97" s="10"/>
      <c r="Y97" s="10"/>
      <c r="Z97" s="10"/>
      <c r="AA97" s="10" t="s">
        <v>56</v>
      </c>
      <c r="AB97" s="10"/>
      <c r="AC97" s="10"/>
      <c r="AD97" s="89" t="e">
        <f>HLOOKUP($F$6,$AF$93:$AN$111,5,FALSE)</f>
        <v>#N/A</v>
      </c>
      <c r="AE97" s="10"/>
      <c r="AF97" s="10" t="s">
        <v>76</v>
      </c>
      <c r="AG97" s="10" t="s">
        <v>81</v>
      </c>
      <c r="AH97" s="10" t="s">
        <v>85</v>
      </c>
      <c r="AI97" s="10" t="s">
        <v>86</v>
      </c>
      <c r="AJ97" s="10" t="s">
        <v>124</v>
      </c>
      <c r="AK97" s="10" t="s">
        <v>87</v>
      </c>
      <c r="AL97" s="1" t="s">
        <v>88</v>
      </c>
      <c r="AM97" s="1" t="s">
        <v>88</v>
      </c>
      <c r="AN97" s="1" t="s">
        <v>89</v>
      </c>
    </row>
    <row r="98" spans="21:40" x14ac:dyDescent="0.2">
      <c r="U98" s="10">
        <v>10</v>
      </c>
      <c r="V98" s="10"/>
      <c r="W98" s="10" t="s">
        <v>111</v>
      </c>
      <c r="X98" s="10"/>
      <c r="Y98" s="10"/>
      <c r="Z98" s="10"/>
      <c r="AA98" s="10" t="s">
        <v>57</v>
      </c>
      <c r="AB98" s="10"/>
      <c r="AC98" s="10"/>
      <c r="AD98" s="89" t="e">
        <f>HLOOKUP($F$6,$AF$93:$AN$111,6,FALSE)</f>
        <v>#N/A</v>
      </c>
      <c r="AE98" s="10"/>
      <c r="AF98" s="10" t="s">
        <v>87</v>
      </c>
      <c r="AG98" s="10" t="s">
        <v>69</v>
      </c>
      <c r="AH98" s="10" t="s">
        <v>90</v>
      </c>
      <c r="AI98" s="10" t="s">
        <v>91</v>
      </c>
      <c r="AJ98" s="10" t="s">
        <v>92</v>
      </c>
      <c r="AK98" s="10" t="s">
        <v>82</v>
      </c>
      <c r="AL98" s="1" t="s">
        <v>93</v>
      </c>
      <c r="AM98" s="1" t="s">
        <v>93</v>
      </c>
      <c r="AN98" s="1" t="s">
        <v>125</v>
      </c>
    </row>
    <row r="99" spans="21:40" x14ac:dyDescent="0.2">
      <c r="U99" s="10">
        <v>11</v>
      </c>
      <c r="V99" s="10"/>
      <c r="W99" s="10" t="s">
        <v>114</v>
      </c>
      <c r="X99" s="10"/>
      <c r="Y99" s="10"/>
      <c r="Z99" s="10"/>
      <c r="AA99" s="10" t="s">
        <v>58</v>
      </c>
      <c r="AB99" s="10"/>
      <c r="AC99" s="10"/>
      <c r="AD99" s="89" t="e">
        <f>IF(HLOOKUP($F$6,$AF$93:$AN$111,7,FALSE)=0,"",HLOOKUP($F$6,$AF$93:$AN$111,7,FALSE))</f>
        <v>#N/A</v>
      </c>
      <c r="AE99" s="10"/>
      <c r="AF99" s="10" t="s">
        <v>96</v>
      </c>
      <c r="AG99" s="10" t="s">
        <v>66</v>
      </c>
      <c r="AH99" s="10" t="s">
        <v>97</v>
      </c>
      <c r="AI99" s="10"/>
      <c r="AJ99" s="10" t="s">
        <v>98</v>
      </c>
      <c r="AK99" s="10" t="s">
        <v>96</v>
      </c>
      <c r="AL99" s="1" t="s">
        <v>79</v>
      </c>
      <c r="AM99" s="1" t="s">
        <v>79</v>
      </c>
    </row>
    <row r="100" spans="21:40" x14ac:dyDescent="0.2">
      <c r="U100" s="10">
        <v>12</v>
      </c>
      <c r="V100" s="10"/>
      <c r="W100" s="10" t="s">
        <v>66</v>
      </c>
      <c r="X100" s="10"/>
      <c r="Y100" s="10"/>
      <c r="Z100" s="10"/>
      <c r="AA100" s="10" t="s">
        <v>32</v>
      </c>
      <c r="AB100" s="10"/>
      <c r="AC100" s="10"/>
      <c r="AD100" s="89" t="e">
        <f>IF(HLOOKUP($F$6,$AF$93:$AN$111,8,FALSE)=0,"",HLOOKUP($F$6,$AF$93:$AN$111,8,FALSE))</f>
        <v>#N/A</v>
      </c>
      <c r="AE100" s="10"/>
      <c r="AF100" s="10" t="s">
        <v>101</v>
      </c>
      <c r="AG100" s="10" t="s">
        <v>102</v>
      </c>
      <c r="AH100" s="10" t="s">
        <v>103</v>
      </c>
      <c r="AI100" s="10"/>
      <c r="AJ100" s="10" t="s">
        <v>86</v>
      </c>
      <c r="AK100" s="10" t="s">
        <v>104</v>
      </c>
      <c r="AL100" s="1" t="s">
        <v>84</v>
      </c>
      <c r="AM100" s="1" t="s">
        <v>84</v>
      </c>
    </row>
    <row r="101" spans="21:40" x14ac:dyDescent="0.2">
      <c r="U101" s="10">
        <v>13</v>
      </c>
      <c r="V101" s="10"/>
      <c r="W101" s="10" t="s">
        <v>82</v>
      </c>
      <c r="X101" s="10"/>
      <c r="Y101" s="10"/>
      <c r="Z101" s="10"/>
      <c r="AA101" s="10" t="s">
        <v>59</v>
      </c>
      <c r="AB101" s="10"/>
      <c r="AC101" s="10"/>
      <c r="AD101" s="89" t="e">
        <f>IF(HLOOKUP($F$6,$AF$93:$AN$111,9,FALSE)=0,"",HLOOKUP($F$6,$AF$93:$AN$111,9,FALSE))</f>
        <v>#N/A</v>
      </c>
      <c r="AE101" s="10"/>
      <c r="AF101" s="10" t="s">
        <v>104</v>
      </c>
      <c r="AG101" s="10" t="s">
        <v>105</v>
      </c>
      <c r="AH101" s="10" t="s">
        <v>95</v>
      </c>
      <c r="AI101" s="10"/>
      <c r="AJ101" s="10" t="s">
        <v>74</v>
      </c>
      <c r="AK101" s="10" t="s">
        <v>106</v>
      </c>
      <c r="AL101" s="1" t="s">
        <v>74</v>
      </c>
      <c r="AM101" s="1" t="s">
        <v>74</v>
      </c>
    </row>
    <row r="102" spans="21:40" x14ac:dyDescent="0.2">
      <c r="U102" s="10">
        <v>14</v>
      </c>
      <c r="V102" s="10"/>
      <c r="W102" s="10"/>
      <c r="X102" s="10"/>
      <c r="Y102" s="10"/>
      <c r="Z102" s="10"/>
      <c r="AA102" s="10" t="s">
        <v>60</v>
      </c>
      <c r="AB102" s="10"/>
      <c r="AC102" s="10"/>
      <c r="AD102" s="89" t="e">
        <f>IF(HLOOKUP($F$6,$AF$93:$AN$111,10,FALSE)=0,"",HLOOKUP($F$6,$AF$93:$AN$111,10,FALSE))</f>
        <v>#N/A</v>
      </c>
      <c r="AE102" s="10"/>
      <c r="AF102" s="10" t="s">
        <v>107</v>
      </c>
      <c r="AG102" s="10" t="s">
        <v>123</v>
      </c>
      <c r="AH102" s="10" t="s">
        <v>108</v>
      </c>
      <c r="AI102" s="10"/>
      <c r="AJ102" s="10" t="s">
        <v>95</v>
      </c>
      <c r="AK102" s="10" t="s">
        <v>109</v>
      </c>
      <c r="AL102" s="1" t="s">
        <v>66</v>
      </c>
      <c r="AM102" s="1" t="s">
        <v>66</v>
      </c>
    </row>
    <row r="103" spans="21:40" x14ac:dyDescent="0.2">
      <c r="U103" s="10">
        <v>15</v>
      </c>
      <c r="V103" s="10"/>
      <c r="W103" s="10"/>
      <c r="X103" s="10"/>
      <c r="Y103" s="10"/>
      <c r="Z103" s="10"/>
      <c r="AA103" s="10"/>
      <c r="AB103" s="10"/>
      <c r="AC103" s="10"/>
      <c r="AD103" s="89" t="e">
        <f>IF(HLOOKUP($F$6,$AF$93:$AN$111,11,FALSE)=0,"",HLOOKUP($F$6,$AF$93:$AN$111,11,FALSE))</f>
        <v>#N/A</v>
      </c>
      <c r="AE103" s="10"/>
      <c r="AF103" s="10" t="s">
        <v>109</v>
      </c>
      <c r="AG103" s="10" t="s">
        <v>110</v>
      </c>
      <c r="AH103" s="10" t="s">
        <v>111</v>
      </c>
      <c r="AI103" s="10"/>
      <c r="AJ103" s="10"/>
      <c r="AK103" s="10" t="s">
        <v>74</v>
      </c>
      <c r="AL103" s="1" t="s">
        <v>112</v>
      </c>
      <c r="AM103" s="1" t="s">
        <v>112</v>
      </c>
    </row>
    <row r="104" spans="21:40" x14ac:dyDescent="0.2">
      <c r="U104" s="10">
        <v>16</v>
      </c>
      <c r="V104" s="10"/>
      <c r="W104" s="10"/>
      <c r="X104" s="10"/>
      <c r="Y104" s="10"/>
      <c r="Z104" s="10"/>
      <c r="AA104" s="10"/>
      <c r="AB104" s="10"/>
      <c r="AC104" s="10"/>
      <c r="AD104" s="89" t="e">
        <f>IF(HLOOKUP($F$6,$AF$93:$AN$111,12,FALSE)=0,"",HLOOKUP($F$6,$AF$93:$AN$111,12,FALSE))</f>
        <v>#N/A</v>
      </c>
      <c r="AE104" s="10"/>
      <c r="AF104" s="10" t="s">
        <v>74</v>
      </c>
      <c r="AG104" s="10" t="s">
        <v>113</v>
      </c>
      <c r="AH104" s="10" t="s">
        <v>114</v>
      </c>
      <c r="AI104" s="10"/>
      <c r="AJ104" s="10"/>
      <c r="AK104" s="10" t="s">
        <v>115</v>
      </c>
      <c r="AL104" s="1" t="s">
        <v>94</v>
      </c>
      <c r="AM104" s="1" t="s">
        <v>94</v>
      </c>
    </row>
    <row r="105" spans="21:40" x14ac:dyDescent="0.2">
      <c r="U105" s="10">
        <v>17</v>
      </c>
      <c r="V105" s="10"/>
      <c r="W105" s="10"/>
      <c r="X105" s="10"/>
      <c r="Y105" s="10"/>
      <c r="Z105" s="10"/>
      <c r="AA105" s="10"/>
      <c r="AB105" s="10"/>
      <c r="AC105" s="10"/>
      <c r="AD105" s="89" t="e">
        <f>IF(HLOOKUP($F$6,$AF$93:$AN$111,13,FALSE)=0,"",HLOOKUP($F$6,$AF$93:$AN$111,13,FALSE))</f>
        <v>#N/A</v>
      </c>
      <c r="AE105" s="10"/>
      <c r="AF105" s="10" t="s">
        <v>115</v>
      </c>
      <c r="AG105" s="10" t="s">
        <v>115</v>
      </c>
      <c r="AH105" s="10" t="s">
        <v>66</v>
      </c>
      <c r="AI105" s="10"/>
      <c r="AJ105" s="10"/>
      <c r="AK105" s="10" t="s">
        <v>116</v>
      </c>
      <c r="AL105" s="1" t="s">
        <v>35</v>
      </c>
      <c r="AM105" s="1" t="s">
        <v>35</v>
      </c>
    </row>
    <row r="106" spans="21:40" x14ac:dyDescent="0.2">
      <c r="U106" s="10">
        <v>18</v>
      </c>
      <c r="V106" s="10"/>
      <c r="W106" s="10"/>
      <c r="X106" s="10"/>
      <c r="Y106" s="10"/>
      <c r="Z106" s="10"/>
      <c r="AA106" s="10"/>
      <c r="AB106" s="10"/>
      <c r="AC106" s="10"/>
      <c r="AD106" s="89" t="e">
        <f>IF(HLOOKUP($F$6,$AF$93:$AN$111,14,FALSE)=0,"",HLOOKUP($F$6,$AF$93:$AN$111,14,FALSE))</f>
        <v>#N/A</v>
      </c>
      <c r="AE106" s="10"/>
      <c r="AF106" s="10" t="s">
        <v>116</v>
      </c>
      <c r="AG106" s="10" t="s">
        <v>117</v>
      </c>
      <c r="AH106" s="10" t="s">
        <v>82</v>
      </c>
      <c r="AI106" s="10"/>
      <c r="AJ106" s="10"/>
      <c r="AK106" s="10" t="s">
        <v>118</v>
      </c>
      <c r="AL106" s="1" t="s">
        <v>119</v>
      </c>
      <c r="AM106" s="1" t="s">
        <v>119</v>
      </c>
    </row>
    <row r="107" spans="21:40" x14ac:dyDescent="0.2">
      <c r="U107" s="10">
        <v>19</v>
      </c>
      <c r="V107" s="10"/>
      <c r="W107" s="10"/>
      <c r="X107" s="10"/>
      <c r="Y107" s="10"/>
      <c r="Z107" s="10"/>
      <c r="AA107" s="10"/>
      <c r="AB107" s="10"/>
      <c r="AC107" s="10"/>
      <c r="AD107" s="89" t="e">
        <f>IF(HLOOKUP($F$6,$AF$93:$AN$111,15,FALSE)=0,"",HLOOKUP($F$6,$AF$93:$AN$111,15,FALSE))</f>
        <v>#N/A</v>
      </c>
      <c r="AE107" s="10"/>
      <c r="AF107" s="10" t="s">
        <v>118</v>
      </c>
      <c r="AG107" s="10"/>
      <c r="AH107" s="10"/>
      <c r="AI107" s="10"/>
      <c r="AJ107" s="10"/>
      <c r="AK107" s="10"/>
      <c r="AL107" s="1" t="s">
        <v>89</v>
      </c>
      <c r="AM107" s="1" t="s">
        <v>89</v>
      </c>
    </row>
    <row r="108" spans="21:40" x14ac:dyDescent="0.2">
      <c r="U108" s="10">
        <v>1</v>
      </c>
      <c r="V108" s="10" t="s">
        <v>56</v>
      </c>
      <c r="W108" s="10" t="s">
        <v>69</v>
      </c>
      <c r="X108" s="10"/>
      <c r="Y108" s="10"/>
      <c r="Z108" s="10"/>
      <c r="AA108" s="10"/>
      <c r="AB108" s="10"/>
      <c r="AC108" s="10"/>
      <c r="AD108" s="89" t="e">
        <f>IF(HLOOKUP($F$6,$AF$93:$AN$111,16,FALSE)=0,"",HLOOKUP($F$6,$AF$93:$AN$111,16,FALSE))</f>
        <v>#N/A</v>
      </c>
      <c r="AE108" s="10"/>
      <c r="AF108" s="10" t="s">
        <v>95</v>
      </c>
      <c r="AG108" s="10"/>
      <c r="AH108" s="10"/>
      <c r="AI108" s="10"/>
      <c r="AJ108" s="10"/>
      <c r="AK108" s="10"/>
    </row>
    <row r="109" spans="21:40" x14ac:dyDescent="0.2">
      <c r="U109" s="10">
        <v>2</v>
      </c>
      <c r="V109" s="10"/>
      <c r="W109" s="10" t="s">
        <v>66</v>
      </c>
      <c r="X109" s="10"/>
      <c r="Y109" s="10"/>
      <c r="Z109" s="10"/>
      <c r="AA109" s="10"/>
      <c r="AB109" s="10"/>
      <c r="AC109" s="10"/>
      <c r="AD109" s="89" t="e">
        <f>IF(HLOOKUP($F$6,$AF$93:$AN$111,17,FALSE)=0,"",HLOOKUP($F$6,$AF$93:$AN$111,17,FALSE))</f>
        <v>#N/A</v>
      </c>
      <c r="AE109" s="10"/>
      <c r="AF109" s="10" t="s">
        <v>120</v>
      </c>
      <c r="AG109" s="10"/>
      <c r="AH109" s="10"/>
      <c r="AI109" s="10"/>
      <c r="AJ109" s="10"/>
      <c r="AK109" s="10"/>
    </row>
    <row r="110" spans="21:40" x14ac:dyDescent="0.2">
      <c r="U110" s="10">
        <v>3</v>
      </c>
      <c r="V110" s="10"/>
      <c r="W110" s="10" t="s">
        <v>81</v>
      </c>
      <c r="X110" s="10"/>
      <c r="Y110" s="10"/>
      <c r="Z110" s="10"/>
      <c r="AA110" s="10"/>
      <c r="AB110" s="10"/>
      <c r="AC110" s="10"/>
      <c r="AD110" s="89" t="e">
        <f>IF(HLOOKUP($F$6,$AF$93:$AN$111,18,FALSE)=0,"",HLOOKUP($F$6,$AF$93:$AN$111,18,FALSE))</f>
        <v>#N/A</v>
      </c>
      <c r="AE110" s="10"/>
      <c r="AF110" s="10" t="s">
        <v>121</v>
      </c>
      <c r="AG110" s="10"/>
      <c r="AH110" s="10"/>
      <c r="AI110" s="10"/>
      <c r="AJ110" s="10"/>
      <c r="AK110" s="10"/>
    </row>
    <row r="111" spans="21:40" x14ac:dyDescent="0.2">
      <c r="U111" s="10">
        <v>4</v>
      </c>
      <c r="V111" s="10"/>
      <c r="W111" s="10" t="s">
        <v>86</v>
      </c>
      <c r="X111" s="10"/>
      <c r="Y111" s="10"/>
      <c r="Z111" s="10"/>
      <c r="AA111" s="10"/>
      <c r="AB111" s="10"/>
      <c r="AC111" s="10"/>
      <c r="AD111" s="89" t="e">
        <f>IF(HLOOKUP($F$6,$AF$93:$AN$111,19,FALSE)=0,"",HLOOKUP($F$6,$AF$93:$AN$111,19,FALSE))</f>
        <v>#N/A</v>
      </c>
      <c r="AE111" s="10"/>
      <c r="AF111" s="10" t="s">
        <v>106</v>
      </c>
      <c r="AG111" s="10"/>
      <c r="AH111" s="10"/>
      <c r="AI111" s="10"/>
      <c r="AJ111" s="10"/>
      <c r="AK111" s="10"/>
    </row>
    <row r="112" spans="21:40" x14ac:dyDescent="0.2">
      <c r="U112" s="10">
        <v>5</v>
      </c>
      <c r="V112" s="10"/>
      <c r="W112" s="10" t="s">
        <v>91</v>
      </c>
      <c r="X112" s="10"/>
      <c r="Y112" s="10"/>
      <c r="Z112" s="10"/>
      <c r="AA112" s="10"/>
      <c r="AB112" s="10"/>
      <c r="AC112" s="10"/>
      <c r="AD112" s="89" t="e">
        <f>IF(HLOOKUP($F$6,$AF$93:$AN$112,20,FALSE)=0,"",HLOOKUP($F$6,$AF$93:$AN$112,20,FALSE))</f>
        <v>#N/A</v>
      </c>
      <c r="AE112" s="10"/>
      <c r="AF112" s="10" t="s">
        <v>82</v>
      </c>
      <c r="AG112" s="10"/>
      <c r="AH112" s="10"/>
      <c r="AI112" s="10"/>
      <c r="AJ112" s="10"/>
      <c r="AK112" s="10"/>
    </row>
    <row r="113" spans="21:37" x14ac:dyDescent="0.2">
      <c r="U113" s="10">
        <v>6</v>
      </c>
      <c r="V113" s="10"/>
      <c r="W113" s="10"/>
      <c r="X113" s="10"/>
      <c r="Y113" s="10"/>
      <c r="Z113" s="10"/>
      <c r="AA113" s="10"/>
      <c r="AB113" s="10"/>
      <c r="AC113" s="10"/>
      <c r="AD113" s="10"/>
      <c r="AE113" s="10"/>
      <c r="AF113" s="10"/>
      <c r="AG113" s="10"/>
      <c r="AH113" s="10"/>
      <c r="AI113" s="10"/>
      <c r="AJ113" s="10"/>
      <c r="AK113" s="10"/>
    </row>
    <row r="114" spans="21:37" x14ac:dyDescent="0.2">
      <c r="U114" s="10">
        <v>7</v>
      </c>
      <c r="V114" s="10"/>
      <c r="W114" s="10"/>
      <c r="X114" s="10"/>
      <c r="Y114" s="10"/>
      <c r="Z114" s="10"/>
      <c r="AA114" s="10"/>
      <c r="AB114" s="10"/>
      <c r="AC114" s="10"/>
      <c r="AD114" s="10"/>
      <c r="AE114" s="10"/>
      <c r="AF114" s="10"/>
      <c r="AG114" s="10"/>
      <c r="AH114" s="10"/>
      <c r="AI114" s="10"/>
      <c r="AJ114" s="10"/>
      <c r="AK114" s="10"/>
    </row>
    <row r="115" spans="21:37" x14ac:dyDescent="0.2">
      <c r="U115" s="10">
        <v>8</v>
      </c>
      <c r="V115" s="10"/>
      <c r="W115" s="10"/>
      <c r="X115" s="10"/>
      <c r="Y115" s="10"/>
      <c r="Z115" s="10"/>
      <c r="AA115" s="10"/>
      <c r="AB115" s="10"/>
      <c r="AC115" s="10"/>
      <c r="AD115" s="10"/>
      <c r="AE115" s="10"/>
      <c r="AF115" s="10"/>
      <c r="AG115" s="10"/>
      <c r="AH115" s="10"/>
      <c r="AI115" s="10"/>
      <c r="AJ115" s="10"/>
      <c r="AK115" s="10"/>
    </row>
    <row r="116" spans="21:37" x14ac:dyDescent="0.2">
      <c r="U116" s="10">
        <v>9</v>
      </c>
      <c r="V116" s="10"/>
      <c r="W116" s="10"/>
      <c r="X116" s="10"/>
      <c r="Y116" s="10"/>
      <c r="Z116" s="10"/>
      <c r="AA116" s="10"/>
      <c r="AB116" s="10"/>
      <c r="AC116" s="10"/>
      <c r="AD116" s="10"/>
      <c r="AE116" s="10"/>
      <c r="AF116" s="10"/>
      <c r="AG116" s="10"/>
      <c r="AH116" s="10"/>
      <c r="AI116" s="10"/>
      <c r="AJ116" s="10"/>
      <c r="AK116" s="10"/>
    </row>
    <row r="117" spans="21:37" x14ac:dyDescent="0.2">
      <c r="U117" s="10">
        <v>10</v>
      </c>
      <c r="V117" s="10"/>
      <c r="W117" s="10"/>
      <c r="X117" s="10"/>
      <c r="Y117" s="10"/>
      <c r="Z117" s="10"/>
      <c r="AA117" s="10"/>
      <c r="AB117" s="10"/>
      <c r="AC117" s="10"/>
      <c r="AD117" s="10"/>
      <c r="AE117" s="10"/>
      <c r="AF117" s="10"/>
      <c r="AG117" s="10"/>
      <c r="AH117" s="10"/>
      <c r="AI117" s="10"/>
      <c r="AJ117" s="10"/>
      <c r="AK117" s="10"/>
    </row>
    <row r="118" spans="21:37" x14ac:dyDescent="0.2">
      <c r="U118" s="10">
        <v>11</v>
      </c>
      <c r="V118" s="10"/>
      <c r="W118" s="10"/>
      <c r="X118" s="10"/>
      <c r="Y118" s="10"/>
      <c r="Z118" s="10"/>
      <c r="AA118" s="10"/>
      <c r="AB118" s="10"/>
      <c r="AC118" s="10"/>
      <c r="AD118" s="10"/>
      <c r="AE118" s="10"/>
      <c r="AF118" s="10"/>
      <c r="AG118" s="10"/>
      <c r="AH118" s="10"/>
      <c r="AI118" s="10"/>
      <c r="AJ118" s="10"/>
      <c r="AK118" s="10"/>
    </row>
    <row r="119" spans="21:37" x14ac:dyDescent="0.2">
      <c r="U119" s="10">
        <v>12</v>
      </c>
      <c r="V119" s="10"/>
      <c r="W119" s="10"/>
      <c r="X119" s="10"/>
      <c r="Y119" s="10"/>
      <c r="Z119" s="10"/>
      <c r="AA119" s="10"/>
      <c r="AB119" s="10"/>
      <c r="AC119" s="10"/>
      <c r="AD119" s="10"/>
      <c r="AE119" s="10"/>
      <c r="AF119" s="10"/>
      <c r="AG119" s="10"/>
      <c r="AH119" s="10"/>
      <c r="AI119" s="10"/>
      <c r="AJ119" s="10"/>
      <c r="AK119" s="10"/>
    </row>
    <row r="120" spans="21:37" x14ac:dyDescent="0.2">
      <c r="U120" s="10">
        <v>13</v>
      </c>
      <c r="V120" s="10"/>
      <c r="W120" s="10"/>
      <c r="X120" s="10"/>
      <c r="Y120" s="10"/>
      <c r="Z120" s="10"/>
      <c r="AA120" s="10"/>
      <c r="AB120" s="10"/>
      <c r="AC120" s="10"/>
      <c r="AD120" s="10"/>
      <c r="AE120" s="10"/>
      <c r="AF120" s="10"/>
      <c r="AG120" s="10"/>
      <c r="AH120" s="10"/>
      <c r="AI120" s="10"/>
      <c r="AJ120" s="10"/>
      <c r="AK120" s="10"/>
    </row>
    <row r="121" spans="21:37" x14ac:dyDescent="0.2">
      <c r="U121" s="10">
        <v>14</v>
      </c>
      <c r="V121" s="10"/>
      <c r="W121" s="10"/>
      <c r="X121" s="10"/>
      <c r="Y121" s="10"/>
      <c r="Z121" s="10"/>
      <c r="AA121" s="10"/>
      <c r="AB121" s="10"/>
      <c r="AC121" s="10"/>
      <c r="AD121" s="10"/>
      <c r="AE121" s="10"/>
      <c r="AF121" s="10"/>
      <c r="AG121" s="10"/>
      <c r="AH121" s="10"/>
      <c r="AI121" s="10"/>
      <c r="AJ121" s="10"/>
      <c r="AK121" s="10"/>
    </row>
    <row r="122" spans="21:37" x14ac:dyDescent="0.2">
      <c r="U122" s="10">
        <v>15</v>
      </c>
      <c r="V122" s="10"/>
      <c r="W122" s="10"/>
      <c r="X122" s="10"/>
      <c r="Y122" s="10"/>
      <c r="Z122" s="10"/>
      <c r="AA122" s="10"/>
      <c r="AB122" s="10"/>
      <c r="AC122" s="10"/>
      <c r="AD122" s="10"/>
      <c r="AE122" s="10"/>
      <c r="AF122" s="10"/>
      <c r="AG122" s="10"/>
      <c r="AH122" s="10"/>
      <c r="AI122" s="10"/>
      <c r="AJ122" s="10"/>
      <c r="AK122" s="10"/>
    </row>
    <row r="123" spans="21:37" x14ac:dyDescent="0.2">
      <c r="U123" s="10">
        <v>16</v>
      </c>
      <c r="V123" s="10"/>
      <c r="W123" s="10"/>
      <c r="X123" s="10"/>
      <c r="Y123" s="10"/>
      <c r="Z123" s="10"/>
      <c r="AA123" s="10"/>
      <c r="AB123" s="10"/>
      <c r="AC123" s="10"/>
      <c r="AD123" s="10"/>
      <c r="AE123" s="10"/>
      <c r="AF123" s="10"/>
      <c r="AG123" s="10"/>
      <c r="AH123" s="10"/>
      <c r="AI123" s="10"/>
      <c r="AJ123" s="10"/>
      <c r="AK123" s="10"/>
    </row>
    <row r="124" spans="21:37" x14ac:dyDescent="0.2">
      <c r="U124" s="10">
        <v>17</v>
      </c>
      <c r="V124" s="10"/>
      <c r="W124" s="10"/>
      <c r="X124" s="10"/>
      <c r="Y124" s="10"/>
      <c r="Z124" s="10"/>
      <c r="AA124" s="10"/>
      <c r="AB124" s="10"/>
      <c r="AC124" s="10"/>
      <c r="AD124" s="10"/>
      <c r="AE124" s="10"/>
      <c r="AF124" s="10"/>
      <c r="AG124" s="10"/>
      <c r="AH124" s="10"/>
      <c r="AI124" s="10"/>
      <c r="AJ124" s="10"/>
      <c r="AK124" s="10"/>
    </row>
    <row r="125" spans="21:37" x14ac:dyDescent="0.2">
      <c r="U125" s="10">
        <v>18</v>
      </c>
      <c r="V125" s="10"/>
      <c r="W125" s="10"/>
      <c r="X125" s="10"/>
      <c r="Y125" s="10"/>
      <c r="Z125" s="10"/>
      <c r="AA125" s="10"/>
      <c r="AB125" s="10"/>
      <c r="AC125" s="10"/>
      <c r="AD125" s="10"/>
      <c r="AE125" s="10"/>
      <c r="AF125" s="10"/>
      <c r="AG125" s="10"/>
      <c r="AH125" s="10"/>
      <c r="AI125" s="10"/>
      <c r="AJ125" s="10"/>
      <c r="AK125" s="10"/>
    </row>
    <row r="126" spans="21:37" x14ac:dyDescent="0.2">
      <c r="U126" s="10">
        <v>19</v>
      </c>
      <c r="V126" s="10"/>
      <c r="W126" s="10"/>
      <c r="X126" s="10"/>
      <c r="Y126" s="10"/>
      <c r="Z126" s="10"/>
      <c r="AA126" s="10"/>
      <c r="AB126" s="10"/>
      <c r="AC126" s="10"/>
      <c r="AD126" s="10"/>
      <c r="AE126" s="10"/>
      <c r="AF126" s="10"/>
      <c r="AG126" s="10"/>
      <c r="AH126" s="10"/>
      <c r="AI126" s="10"/>
      <c r="AJ126" s="10"/>
      <c r="AK126" s="10"/>
    </row>
    <row r="127" spans="21:37" x14ac:dyDescent="0.2">
      <c r="U127" s="10">
        <v>1</v>
      </c>
      <c r="V127" s="10" t="s">
        <v>57</v>
      </c>
      <c r="W127" s="10" t="s">
        <v>69</v>
      </c>
      <c r="X127" s="10"/>
      <c r="Y127" s="10"/>
      <c r="Z127" s="10"/>
      <c r="AA127" s="10"/>
      <c r="AB127" s="10"/>
      <c r="AC127" s="10"/>
      <c r="AD127" s="10"/>
      <c r="AE127" s="10"/>
      <c r="AF127" s="10"/>
      <c r="AG127" s="10"/>
      <c r="AH127" s="10"/>
      <c r="AI127" s="10"/>
      <c r="AJ127" s="10"/>
      <c r="AK127" s="10"/>
    </row>
    <row r="128" spans="21:37" x14ac:dyDescent="0.2">
      <c r="U128" s="10">
        <v>2</v>
      </c>
      <c r="V128" s="10"/>
      <c r="W128" s="10" t="s">
        <v>66</v>
      </c>
      <c r="X128" s="10"/>
      <c r="Y128" s="10"/>
      <c r="Z128" s="10"/>
      <c r="AA128" s="10"/>
      <c r="AB128" s="10"/>
      <c r="AC128" s="10"/>
      <c r="AD128" s="10"/>
      <c r="AE128" s="10"/>
      <c r="AF128" s="10"/>
      <c r="AG128" s="10"/>
      <c r="AH128" s="10"/>
      <c r="AI128" s="10"/>
      <c r="AJ128" s="10"/>
      <c r="AK128" s="10"/>
    </row>
    <row r="129" spans="21:37" x14ac:dyDescent="0.2">
      <c r="U129" s="10">
        <v>3</v>
      </c>
      <c r="V129" s="10"/>
      <c r="W129" s="10" t="s">
        <v>82</v>
      </c>
      <c r="X129" s="10"/>
      <c r="Y129" s="10"/>
      <c r="Z129" s="10"/>
      <c r="AA129" s="10"/>
      <c r="AB129" s="10"/>
      <c r="AC129" s="10"/>
      <c r="AD129" s="10"/>
      <c r="AE129" s="10"/>
      <c r="AF129" s="10"/>
      <c r="AG129" s="10"/>
      <c r="AH129" s="10"/>
      <c r="AI129" s="10"/>
      <c r="AJ129" s="10"/>
      <c r="AK129" s="10"/>
    </row>
    <row r="130" spans="21:37" x14ac:dyDescent="0.2">
      <c r="U130" s="10">
        <v>4</v>
      </c>
      <c r="V130" s="10"/>
      <c r="W130" s="10" t="s">
        <v>124</v>
      </c>
      <c r="X130" s="10"/>
      <c r="Y130" s="10"/>
      <c r="Z130" s="10"/>
      <c r="AA130" s="10"/>
      <c r="AB130" s="10"/>
      <c r="AC130" s="10"/>
      <c r="AD130" s="10"/>
      <c r="AE130" s="10"/>
      <c r="AF130" s="10"/>
      <c r="AG130" s="10"/>
      <c r="AH130" s="10"/>
      <c r="AI130" s="10"/>
      <c r="AJ130" s="10"/>
      <c r="AK130" s="10"/>
    </row>
    <row r="131" spans="21:37" x14ac:dyDescent="0.2">
      <c r="U131" s="10">
        <v>5</v>
      </c>
      <c r="V131" s="10"/>
      <c r="W131" s="10" t="s">
        <v>92</v>
      </c>
      <c r="X131" s="10"/>
      <c r="Y131" s="10"/>
      <c r="Z131" s="10"/>
      <c r="AA131" s="10"/>
      <c r="AB131" s="10"/>
      <c r="AC131" s="10"/>
      <c r="AD131" s="10"/>
      <c r="AE131" s="10"/>
      <c r="AF131" s="10"/>
      <c r="AG131" s="10"/>
      <c r="AH131" s="10"/>
      <c r="AI131" s="10"/>
      <c r="AJ131" s="10"/>
      <c r="AK131" s="10"/>
    </row>
    <row r="132" spans="21:37" x14ac:dyDescent="0.2">
      <c r="U132" s="10">
        <v>6</v>
      </c>
      <c r="V132" s="10"/>
      <c r="W132" s="10" t="s">
        <v>98</v>
      </c>
      <c r="X132" s="10"/>
      <c r="Y132" s="10"/>
      <c r="Z132" s="10"/>
      <c r="AA132" s="10"/>
      <c r="AB132" s="10"/>
      <c r="AC132" s="10"/>
      <c r="AD132" s="10"/>
      <c r="AE132" s="10"/>
      <c r="AF132" s="10"/>
      <c r="AG132" s="10"/>
      <c r="AH132" s="10"/>
      <c r="AI132" s="10"/>
      <c r="AJ132" s="10"/>
      <c r="AK132" s="10"/>
    </row>
    <row r="133" spans="21:37" x14ac:dyDescent="0.2">
      <c r="U133" s="10">
        <v>7</v>
      </c>
      <c r="V133" s="10"/>
      <c r="W133" s="10" t="s">
        <v>86</v>
      </c>
      <c r="X133" s="10"/>
      <c r="Y133" s="10"/>
      <c r="Z133" s="10"/>
      <c r="AA133" s="10"/>
      <c r="AB133" s="10"/>
      <c r="AC133" s="10"/>
      <c r="AD133" s="10"/>
      <c r="AE133" s="10"/>
      <c r="AF133" s="10"/>
      <c r="AG133" s="10"/>
      <c r="AH133" s="10"/>
      <c r="AI133" s="10"/>
      <c r="AJ133" s="10"/>
      <c r="AK133" s="10"/>
    </row>
    <row r="134" spans="21:37" x14ac:dyDescent="0.2">
      <c r="U134" s="10">
        <v>8</v>
      </c>
      <c r="V134" s="10"/>
      <c r="W134" s="10" t="s">
        <v>74</v>
      </c>
      <c r="X134" s="10"/>
      <c r="Y134" s="10"/>
      <c r="Z134" s="10"/>
      <c r="AA134" s="10"/>
      <c r="AB134" s="10"/>
      <c r="AC134" s="10"/>
      <c r="AD134" s="10"/>
      <c r="AE134" s="10"/>
      <c r="AF134" s="10"/>
      <c r="AG134" s="10"/>
      <c r="AH134" s="10"/>
      <c r="AI134" s="10"/>
      <c r="AJ134" s="10"/>
      <c r="AK134" s="10"/>
    </row>
    <row r="135" spans="21:37" x14ac:dyDescent="0.2">
      <c r="U135" s="10">
        <v>9</v>
      </c>
      <c r="V135" s="10"/>
      <c r="W135" s="10" t="s">
        <v>95</v>
      </c>
      <c r="X135" s="10"/>
      <c r="Y135" s="10"/>
      <c r="Z135" s="10"/>
      <c r="AA135" s="10"/>
      <c r="AB135" s="10"/>
      <c r="AC135" s="10"/>
      <c r="AD135" s="10"/>
      <c r="AE135" s="10"/>
      <c r="AF135" s="10"/>
      <c r="AG135" s="10"/>
      <c r="AH135" s="10"/>
      <c r="AI135" s="10"/>
      <c r="AJ135" s="10"/>
      <c r="AK135" s="10"/>
    </row>
    <row r="136" spans="21:37" x14ac:dyDescent="0.2">
      <c r="U136" s="10">
        <v>10</v>
      </c>
      <c r="V136" s="10"/>
      <c r="W136" s="10"/>
      <c r="X136" s="10"/>
      <c r="Y136" s="10"/>
      <c r="Z136" s="10"/>
      <c r="AA136" s="10"/>
      <c r="AB136" s="10"/>
      <c r="AC136" s="10"/>
      <c r="AD136" s="10"/>
      <c r="AE136" s="10"/>
      <c r="AF136" s="10"/>
      <c r="AG136" s="10"/>
      <c r="AH136" s="10"/>
      <c r="AI136" s="10"/>
      <c r="AJ136" s="10"/>
      <c r="AK136" s="10"/>
    </row>
    <row r="137" spans="21:37" x14ac:dyDescent="0.2">
      <c r="U137" s="10">
        <v>11</v>
      </c>
      <c r="V137" s="10"/>
      <c r="W137" s="10"/>
      <c r="X137" s="10"/>
      <c r="Y137" s="10"/>
      <c r="Z137" s="10"/>
      <c r="AA137" s="10"/>
      <c r="AB137" s="10"/>
      <c r="AC137" s="10"/>
      <c r="AD137" s="10"/>
      <c r="AE137" s="10"/>
      <c r="AF137" s="10"/>
      <c r="AG137" s="10"/>
      <c r="AH137" s="10"/>
      <c r="AI137" s="10"/>
      <c r="AJ137" s="10"/>
      <c r="AK137" s="10"/>
    </row>
    <row r="138" spans="21:37" x14ac:dyDescent="0.2">
      <c r="U138" s="10">
        <v>12</v>
      </c>
      <c r="V138" s="10"/>
      <c r="W138" s="10"/>
      <c r="X138" s="10"/>
      <c r="Y138" s="10"/>
      <c r="Z138" s="10"/>
      <c r="AA138" s="10"/>
      <c r="AB138" s="10"/>
      <c r="AC138" s="10"/>
      <c r="AD138" s="10"/>
      <c r="AE138" s="10"/>
      <c r="AF138" s="10"/>
      <c r="AG138" s="10"/>
      <c r="AH138" s="10"/>
      <c r="AI138" s="10"/>
      <c r="AJ138" s="10"/>
      <c r="AK138" s="10"/>
    </row>
    <row r="139" spans="21:37" x14ac:dyDescent="0.2">
      <c r="U139" s="10">
        <v>13</v>
      </c>
      <c r="V139" s="10"/>
      <c r="W139" s="10"/>
      <c r="X139" s="10"/>
      <c r="Y139" s="10"/>
      <c r="Z139" s="10"/>
      <c r="AA139" s="10"/>
      <c r="AB139" s="10"/>
      <c r="AC139" s="10"/>
      <c r="AD139" s="10"/>
      <c r="AE139" s="10"/>
      <c r="AF139" s="10"/>
      <c r="AG139" s="10"/>
      <c r="AH139" s="10"/>
      <c r="AI139" s="10"/>
      <c r="AJ139" s="10"/>
      <c r="AK139" s="10"/>
    </row>
    <row r="140" spans="21:37" x14ac:dyDescent="0.2">
      <c r="U140" s="10">
        <v>14</v>
      </c>
      <c r="V140" s="10"/>
      <c r="W140" s="10"/>
      <c r="X140" s="10"/>
      <c r="Y140" s="10"/>
      <c r="Z140" s="10"/>
      <c r="AA140" s="10"/>
      <c r="AB140" s="10"/>
      <c r="AC140" s="10"/>
      <c r="AD140" s="10"/>
      <c r="AE140" s="10"/>
      <c r="AF140" s="10"/>
      <c r="AG140" s="10"/>
      <c r="AH140" s="10"/>
      <c r="AI140" s="10"/>
      <c r="AJ140" s="10"/>
      <c r="AK140" s="10"/>
    </row>
    <row r="141" spans="21:37" x14ac:dyDescent="0.2">
      <c r="U141" s="10">
        <v>15</v>
      </c>
      <c r="V141" s="10"/>
      <c r="W141" s="10"/>
      <c r="X141" s="10"/>
      <c r="Y141" s="10"/>
      <c r="Z141" s="10"/>
      <c r="AA141" s="10"/>
      <c r="AB141" s="10"/>
      <c r="AC141" s="10"/>
      <c r="AD141" s="10"/>
      <c r="AE141" s="10"/>
      <c r="AF141" s="10"/>
      <c r="AG141" s="10"/>
      <c r="AH141" s="10"/>
      <c r="AI141" s="10"/>
      <c r="AJ141" s="10"/>
      <c r="AK141" s="10"/>
    </row>
    <row r="142" spans="21:37" x14ac:dyDescent="0.2">
      <c r="U142" s="10">
        <v>16</v>
      </c>
      <c r="V142" s="10"/>
      <c r="W142" s="10"/>
      <c r="X142" s="10"/>
      <c r="Y142" s="10"/>
      <c r="Z142" s="10"/>
      <c r="AA142" s="10"/>
      <c r="AB142" s="10"/>
      <c r="AC142" s="10"/>
      <c r="AD142" s="10"/>
      <c r="AE142" s="10"/>
      <c r="AF142" s="10"/>
      <c r="AG142" s="10"/>
      <c r="AH142" s="10"/>
      <c r="AI142" s="10"/>
      <c r="AJ142" s="10"/>
      <c r="AK142" s="10"/>
    </row>
    <row r="143" spans="21:37" x14ac:dyDescent="0.2">
      <c r="U143" s="10">
        <v>17</v>
      </c>
      <c r="V143" s="10"/>
      <c r="W143" s="10"/>
      <c r="X143" s="10"/>
      <c r="Y143" s="10"/>
      <c r="Z143" s="10"/>
      <c r="AA143" s="10"/>
      <c r="AB143" s="10"/>
      <c r="AC143" s="10"/>
      <c r="AD143" s="10"/>
      <c r="AE143" s="10"/>
      <c r="AF143" s="10"/>
      <c r="AG143" s="10"/>
      <c r="AH143" s="10"/>
      <c r="AI143" s="10"/>
      <c r="AJ143" s="10"/>
      <c r="AK143" s="10"/>
    </row>
    <row r="144" spans="21:37" x14ac:dyDescent="0.2">
      <c r="U144" s="10">
        <v>18</v>
      </c>
      <c r="V144" s="10"/>
      <c r="W144" s="10"/>
      <c r="X144" s="10"/>
      <c r="Y144" s="10"/>
      <c r="Z144" s="10"/>
      <c r="AA144" s="10"/>
      <c r="AB144" s="10"/>
      <c r="AC144" s="10"/>
      <c r="AD144" s="10"/>
      <c r="AE144" s="10"/>
      <c r="AF144" s="10"/>
      <c r="AG144" s="10"/>
      <c r="AH144" s="10"/>
      <c r="AI144" s="10"/>
      <c r="AJ144" s="10"/>
      <c r="AK144" s="10"/>
    </row>
    <row r="145" spans="21:37" x14ac:dyDescent="0.2">
      <c r="U145" s="10">
        <v>19</v>
      </c>
      <c r="V145" s="10"/>
      <c r="W145" s="10"/>
      <c r="X145" s="10"/>
      <c r="Y145" s="10"/>
      <c r="Z145" s="10"/>
      <c r="AA145" s="10"/>
      <c r="AB145" s="10"/>
      <c r="AC145" s="10"/>
      <c r="AD145" s="10"/>
      <c r="AE145" s="10"/>
      <c r="AF145" s="10"/>
      <c r="AG145" s="10"/>
      <c r="AH145" s="10"/>
      <c r="AI145" s="10"/>
      <c r="AJ145" s="10"/>
      <c r="AK145" s="10"/>
    </row>
    <row r="146" spans="21:37" x14ac:dyDescent="0.2">
      <c r="U146" s="10">
        <v>1</v>
      </c>
      <c r="V146" s="10" t="s">
        <v>58</v>
      </c>
      <c r="W146" s="10" t="s">
        <v>66</v>
      </c>
      <c r="X146" s="10"/>
      <c r="Y146" s="10"/>
      <c r="Z146" s="10"/>
      <c r="AA146" s="10"/>
      <c r="AB146" s="10"/>
      <c r="AC146" s="10"/>
      <c r="AD146" s="10"/>
      <c r="AE146" s="10"/>
      <c r="AF146" s="10"/>
      <c r="AG146" s="10"/>
      <c r="AH146" s="10"/>
      <c r="AI146" s="10"/>
      <c r="AJ146" s="10"/>
      <c r="AK146" s="10"/>
    </row>
    <row r="147" spans="21:37" x14ac:dyDescent="0.2">
      <c r="U147" s="10">
        <v>2</v>
      </c>
      <c r="V147" s="10"/>
      <c r="W147" s="10" t="s">
        <v>76</v>
      </c>
      <c r="X147" s="10"/>
      <c r="Y147" s="10"/>
      <c r="Z147" s="10"/>
      <c r="AA147" s="10"/>
      <c r="AB147" s="10"/>
      <c r="AC147" s="10"/>
      <c r="AD147" s="10"/>
      <c r="AE147" s="10"/>
      <c r="AF147" s="10"/>
      <c r="AG147" s="10"/>
      <c r="AH147" s="10"/>
      <c r="AI147" s="10"/>
      <c r="AJ147" s="10"/>
      <c r="AK147" s="10"/>
    </row>
    <row r="148" spans="21:37" x14ac:dyDescent="0.2">
      <c r="U148" s="10">
        <v>3</v>
      </c>
      <c r="V148" s="10"/>
      <c r="W148" s="10" t="s">
        <v>73</v>
      </c>
      <c r="X148" s="10"/>
      <c r="Y148" s="10"/>
      <c r="Z148" s="10"/>
      <c r="AA148" s="10"/>
      <c r="AB148" s="10"/>
      <c r="AC148" s="10"/>
      <c r="AD148" s="10"/>
      <c r="AE148" s="10"/>
      <c r="AF148" s="10"/>
      <c r="AG148" s="10"/>
      <c r="AH148" s="10"/>
      <c r="AI148" s="10"/>
      <c r="AJ148" s="10"/>
      <c r="AK148" s="10"/>
    </row>
    <row r="149" spans="21:37" x14ac:dyDescent="0.2">
      <c r="U149" s="10">
        <v>4</v>
      </c>
      <c r="V149" s="10"/>
      <c r="W149" s="10" t="s">
        <v>87</v>
      </c>
      <c r="X149" s="10"/>
      <c r="Y149" s="10"/>
      <c r="Z149" s="10"/>
      <c r="AA149" s="10"/>
      <c r="AB149" s="10"/>
      <c r="AC149" s="10"/>
      <c r="AD149" s="10"/>
      <c r="AE149" s="10"/>
      <c r="AF149" s="10"/>
      <c r="AG149" s="10"/>
      <c r="AH149" s="10"/>
      <c r="AI149" s="10"/>
      <c r="AJ149" s="10"/>
      <c r="AK149" s="10"/>
    </row>
    <row r="150" spans="21:37" x14ac:dyDescent="0.2">
      <c r="U150" s="10">
        <v>5</v>
      </c>
      <c r="V150" s="10"/>
      <c r="W150" s="10" t="s">
        <v>82</v>
      </c>
      <c r="X150" s="10"/>
      <c r="Y150" s="10"/>
      <c r="Z150" s="10"/>
      <c r="AA150" s="10"/>
      <c r="AB150" s="10"/>
      <c r="AC150" s="10"/>
      <c r="AD150" s="10"/>
      <c r="AE150" s="10"/>
      <c r="AF150" s="10"/>
      <c r="AG150" s="10"/>
      <c r="AH150" s="10"/>
      <c r="AI150" s="10"/>
      <c r="AJ150" s="10"/>
      <c r="AK150" s="10"/>
    </row>
    <row r="151" spans="21:37" x14ac:dyDescent="0.2">
      <c r="U151" s="10">
        <v>6</v>
      </c>
      <c r="V151" s="10"/>
      <c r="W151" s="10" t="s">
        <v>96</v>
      </c>
      <c r="X151" s="10"/>
      <c r="Y151" s="10"/>
      <c r="Z151" s="10"/>
      <c r="AA151" s="10"/>
      <c r="AB151" s="10"/>
      <c r="AC151" s="10"/>
      <c r="AD151" s="10"/>
      <c r="AE151" s="10"/>
      <c r="AF151" s="10"/>
      <c r="AG151" s="10"/>
      <c r="AH151" s="10"/>
      <c r="AI151" s="10"/>
      <c r="AJ151" s="10"/>
      <c r="AK151" s="10"/>
    </row>
    <row r="152" spans="21:37" x14ac:dyDescent="0.2">
      <c r="U152" s="10">
        <v>7</v>
      </c>
      <c r="V152" s="10"/>
      <c r="W152" s="10" t="s">
        <v>104</v>
      </c>
      <c r="X152" s="10"/>
      <c r="Y152" s="10"/>
      <c r="Z152" s="10"/>
      <c r="AA152" s="10"/>
      <c r="AB152" s="10"/>
      <c r="AC152" s="10"/>
      <c r="AD152" s="10"/>
      <c r="AE152" s="10"/>
      <c r="AF152" s="10"/>
      <c r="AG152" s="10"/>
      <c r="AH152" s="10"/>
      <c r="AI152" s="10"/>
      <c r="AJ152" s="10"/>
      <c r="AK152" s="10"/>
    </row>
    <row r="153" spans="21:37" x14ac:dyDescent="0.2">
      <c r="U153" s="10">
        <v>8</v>
      </c>
      <c r="V153" s="10"/>
      <c r="W153" s="10" t="s">
        <v>106</v>
      </c>
      <c r="X153" s="10"/>
      <c r="Y153" s="10"/>
      <c r="Z153" s="10"/>
      <c r="AA153" s="10"/>
      <c r="AB153" s="10"/>
      <c r="AC153" s="10"/>
      <c r="AD153" s="10"/>
      <c r="AE153" s="10"/>
      <c r="AF153" s="10"/>
      <c r="AG153" s="10"/>
      <c r="AH153" s="10"/>
      <c r="AI153" s="10"/>
      <c r="AJ153" s="10"/>
      <c r="AK153" s="10"/>
    </row>
    <row r="154" spans="21:37" x14ac:dyDescent="0.2">
      <c r="U154" s="10">
        <v>9</v>
      </c>
      <c r="V154" s="10"/>
      <c r="W154" s="10" t="s">
        <v>109</v>
      </c>
      <c r="X154" s="10"/>
      <c r="Y154" s="10"/>
      <c r="Z154" s="10"/>
      <c r="AA154" s="10"/>
      <c r="AB154" s="10"/>
      <c r="AC154" s="10"/>
      <c r="AD154" s="10"/>
      <c r="AE154" s="10"/>
      <c r="AF154" s="10"/>
      <c r="AG154" s="10"/>
      <c r="AH154" s="10"/>
      <c r="AI154" s="10"/>
      <c r="AJ154" s="10"/>
      <c r="AK154" s="10"/>
    </row>
    <row r="155" spans="21:37" x14ac:dyDescent="0.2">
      <c r="U155" s="10">
        <v>10</v>
      </c>
      <c r="V155" s="10"/>
      <c r="W155" s="10" t="s">
        <v>74</v>
      </c>
      <c r="X155" s="10"/>
      <c r="Y155" s="10"/>
      <c r="Z155" s="10"/>
      <c r="AA155" s="10"/>
      <c r="AB155" s="10"/>
      <c r="AC155" s="10"/>
      <c r="AD155" s="10"/>
      <c r="AE155" s="10"/>
      <c r="AF155" s="10"/>
      <c r="AG155" s="10"/>
      <c r="AH155" s="10"/>
      <c r="AI155" s="10"/>
      <c r="AJ155" s="10"/>
      <c r="AK155" s="10"/>
    </row>
    <row r="156" spans="21:37" x14ac:dyDescent="0.2">
      <c r="U156" s="10">
        <v>11</v>
      </c>
      <c r="V156" s="10"/>
      <c r="W156" s="10" t="s">
        <v>115</v>
      </c>
      <c r="X156" s="10"/>
      <c r="Y156" s="10"/>
      <c r="Z156" s="10"/>
      <c r="AA156" s="10"/>
      <c r="AB156" s="10"/>
      <c r="AC156" s="10"/>
      <c r="AD156" s="10"/>
      <c r="AE156" s="10"/>
      <c r="AF156" s="10"/>
      <c r="AG156" s="10"/>
      <c r="AH156" s="10"/>
      <c r="AI156" s="10"/>
      <c r="AJ156" s="10"/>
      <c r="AK156" s="10"/>
    </row>
    <row r="157" spans="21:37" x14ac:dyDescent="0.2">
      <c r="U157" s="10">
        <v>12</v>
      </c>
      <c r="V157" s="10"/>
      <c r="W157" s="10" t="s">
        <v>116</v>
      </c>
      <c r="X157" s="10"/>
      <c r="Y157" s="10"/>
      <c r="Z157" s="10"/>
      <c r="AA157" s="10"/>
      <c r="AB157" s="10"/>
      <c r="AC157" s="10"/>
      <c r="AD157" s="10"/>
      <c r="AE157" s="10"/>
      <c r="AF157" s="10"/>
      <c r="AG157" s="10"/>
      <c r="AH157" s="10"/>
      <c r="AI157" s="10"/>
      <c r="AJ157" s="10"/>
      <c r="AK157" s="10"/>
    </row>
    <row r="158" spans="21:37" x14ac:dyDescent="0.2">
      <c r="U158" s="10">
        <v>13</v>
      </c>
      <c r="V158" s="10"/>
      <c r="W158" s="10" t="s">
        <v>118</v>
      </c>
      <c r="X158" s="10"/>
      <c r="Y158" s="10"/>
      <c r="Z158" s="10"/>
      <c r="AA158" s="10"/>
      <c r="AB158" s="10"/>
      <c r="AC158" s="10"/>
      <c r="AD158" s="10"/>
      <c r="AE158" s="10"/>
      <c r="AF158" s="10"/>
      <c r="AG158" s="10"/>
      <c r="AH158" s="10"/>
      <c r="AI158" s="10"/>
      <c r="AJ158" s="10"/>
      <c r="AK158" s="10"/>
    </row>
    <row r="159" spans="21:37" x14ac:dyDescent="0.2">
      <c r="U159" s="10">
        <v>14</v>
      </c>
      <c r="V159" s="10"/>
      <c r="W159" s="10"/>
      <c r="X159" s="10"/>
      <c r="Y159" s="10"/>
      <c r="Z159" s="10"/>
      <c r="AA159" s="10"/>
      <c r="AB159" s="10"/>
      <c r="AC159" s="10"/>
      <c r="AD159" s="10"/>
      <c r="AE159" s="10"/>
      <c r="AF159" s="10"/>
      <c r="AG159" s="10"/>
      <c r="AH159" s="10"/>
      <c r="AI159" s="10"/>
      <c r="AJ159" s="10"/>
      <c r="AK159" s="10"/>
    </row>
    <row r="160" spans="21:37" x14ac:dyDescent="0.2">
      <c r="U160" s="10">
        <v>15</v>
      </c>
      <c r="V160" s="10"/>
      <c r="W160" s="10"/>
      <c r="X160" s="10"/>
      <c r="Y160" s="10"/>
      <c r="Z160" s="10"/>
      <c r="AA160" s="10"/>
      <c r="AB160" s="10"/>
      <c r="AC160" s="10"/>
      <c r="AD160" s="10"/>
      <c r="AE160" s="10"/>
      <c r="AF160" s="10"/>
      <c r="AG160" s="10"/>
      <c r="AH160" s="10"/>
      <c r="AI160" s="10"/>
      <c r="AJ160" s="10"/>
      <c r="AK160" s="10"/>
    </row>
    <row r="161" spans="21:37" x14ac:dyDescent="0.2">
      <c r="U161" s="10">
        <v>16</v>
      </c>
      <c r="V161" s="10"/>
      <c r="W161" s="10"/>
      <c r="X161" s="10"/>
      <c r="Y161" s="10"/>
      <c r="Z161" s="10"/>
      <c r="AA161" s="10"/>
      <c r="AB161" s="10"/>
      <c r="AC161" s="10"/>
      <c r="AD161" s="10"/>
      <c r="AE161" s="10"/>
      <c r="AF161" s="10"/>
      <c r="AG161" s="10"/>
      <c r="AH161" s="10"/>
      <c r="AI161" s="10"/>
      <c r="AJ161" s="10"/>
      <c r="AK161" s="10"/>
    </row>
    <row r="162" spans="21:37" x14ac:dyDescent="0.2">
      <c r="U162" s="10">
        <v>17</v>
      </c>
      <c r="V162" s="10"/>
      <c r="W162" s="10"/>
      <c r="X162" s="10"/>
      <c r="Y162" s="10"/>
      <c r="Z162" s="10"/>
      <c r="AA162" s="10"/>
      <c r="AB162" s="10"/>
      <c r="AC162" s="10"/>
      <c r="AD162" s="10"/>
      <c r="AE162" s="10"/>
      <c r="AF162" s="10"/>
      <c r="AG162" s="10"/>
      <c r="AH162" s="10"/>
      <c r="AI162" s="10"/>
      <c r="AJ162" s="10"/>
      <c r="AK162" s="10"/>
    </row>
    <row r="163" spans="21:37" x14ac:dyDescent="0.2">
      <c r="U163" s="10">
        <v>18</v>
      </c>
      <c r="V163" s="10"/>
      <c r="W163" s="10"/>
      <c r="X163" s="10"/>
      <c r="Y163" s="10"/>
      <c r="Z163" s="10"/>
      <c r="AA163" s="10"/>
      <c r="AB163" s="10"/>
      <c r="AC163" s="10"/>
      <c r="AD163" s="10"/>
      <c r="AE163" s="10"/>
      <c r="AF163" s="10"/>
      <c r="AG163" s="10"/>
      <c r="AH163" s="10"/>
      <c r="AI163" s="10"/>
      <c r="AJ163" s="10"/>
      <c r="AK163" s="10"/>
    </row>
    <row r="164" spans="21:37" x14ac:dyDescent="0.2">
      <c r="U164" s="10">
        <v>19</v>
      </c>
      <c r="V164" s="10"/>
      <c r="W164" s="10"/>
      <c r="X164" s="10"/>
      <c r="Y164" s="10"/>
      <c r="Z164" s="10"/>
      <c r="AA164" s="10"/>
      <c r="AB164" s="10"/>
      <c r="AC164" s="10"/>
      <c r="AD164" s="10"/>
      <c r="AE164" s="10"/>
      <c r="AF164" s="10"/>
      <c r="AG164" s="10"/>
      <c r="AH164" s="10"/>
      <c r="AI164" s="10"/>
      <c r="AJ164" s="10"/>
      <c r="AK164" s="10"/>
    </row>
    <row r="165" spans="21:37" x14ac:dyDescent="0.2">
      <c r="U165" s="10">
        <v>1</v>
      </c>
      <c r="V165" s="10" t="s">
        <v>32</v>
      </c>
      <c r="W165" s="10" t="s">
        <v>70</v>
      </c>
      <c r="X165" s="10"/>
      <c r="Y165" s="10"/>
      <c r="Z165" s="10"/>
      <c r="AA165" s="10"/>
      <c r="AB165" s="10"/>
      <c r="AC165" s="10"/>
      <c r="AD165" s="10"/>
      <c r="AE165" s="10"/>
      <c r="AF165" s="10"/>
      <c r="AG165" s="10"/>
      <c r="AH165" s="10"/>
      <c r="AI165" s="10"/>
      <c r="AJ165" s="10"/>
      <c r="AK165" s="10"/>
    </row>
    <row r="166" spans="21:37" x14ac:dyDescent="0.2">
      <c r="U166" s="10">
        <v>2</v>
      </c>
      <c r="V166" s="10"/>
      <c r="W166" s="10" t="s">
        <v>71</v>
      </c>
      <c r="X166" s="10"/>
      <c r="Y166" s="10"/>
      <c r="Z166" s="10"/>
      <c r="AA166" s="10"/>
      <c r="AB166" s="10"/>
      <c r="AC166" s="10"/>
      <c r="AD166" s="10"/>
      <c r="AE166" s="10"/>
      <c r="AF166" s="10"/>
      <c r="AG166" s="10"/>
      <c r="AH166" s="10"/>
      <c r="AI166" s="10"/>
      <c r="AJ166" s="10"/>
      <c r="AK166" s="10"/>
    </row>
    <row r="167" spans="21:37" x14ac:dyDescent="0.2">
      <c r="U167" s="10">
        <v>3</v>
      </c>
      <c r="V167" s="10"/>
      <c r="W167" s="10" t="s">
        <v>83</v>
      </c>
      <c r="X167" s="10"/>
      <c r="Y167" s="10"/>
      <c r="Z167" s="10"/>
      <c r="AA167" s="10"/>
      <c r="AB167" s="10"/>
      <c r="AC167" s="10"/>
      <c r="AD167" s="10"/>
      <c r="AE167" s="10"/>
      <c r="AF167" s="10"/>
      <c r="AG167" s="10"/>
      <c r="AH167" s="10"/>
      <c r="AI167" s="10"/>
      <c r="AJ167" s="10"/>
      <c r="AK167" s="10"/>
    </row>
    <row r="168" spans="21:37" x14ac:dyDescent="0.2">
      <c r="U168" s="10">
        <v>4</v>
      </c>
      <c r="V168" s="10"/>
      <c r="W168" s="10" t="s">
        <v>88</v>
      </c>
      <c r="X168" s="10"/>
      <c r="Y168" s="10"/>
      <c r="Z168" s="10"/>
      <c r="AA168" s="10"/>
      <c r="AB168" s="10"/>
      <c r="AC168" s="10"/>
      <c r="AD168" s="10"/>
      <c r="AE168" s="10"/>
      <c r="AF168" s="10"/>
      <c r="AG168" s="10"/>
      <c r="AH168" s="10"/>
      <c r="AI168" s="10"/>
      <c r="AJ168" s="10"/>
      <c r="AK168" s="10"/>
    </row>
    <row r="169" spans="21:37" x14ac:dyDescent="0.2">
      <c r="U169" s="10">
        <v>5</v>
      </c>
      <c r="V169" s="10"/>
      <c r="W169" s="10" t="s">
        <v>93</v>
      </c>
      <c r="X169" s="10"/>
      <c r="Y169" s="10"/>
      <c r="Z169" s="10"/>
      <c r="AA169" s="10"/>
      <c r="AB169" s="10"/>
      <c r="AC169" s="10"/>
      <c r="AD169" s="10"/>
      <c r="AE169" s="10"/>
      <c r="AF169" s="10"/>
      <c r="AG169" s="10"/>
      <c r="AH169" s="10"/>
      <c r="AI169" s="10"/>
      <c r="AJ169" s="10"/>
      <c r="AK169" s="10"/>
    </row>
    <row r="170" spans="21:37" x14ac:dyDescent="0.2">
      <c r="U170" s="10">
        <v>6</v>
      </c>
      <c r="V170" s="10"/>
      <c r="W170" s="10" t="s">
        <v>79</v>
      </c>
      <c r="X170" s="10"/>
      <c r="Y170" s="10"/>
      <c r="Z170" s="10"/>
      <c r="AA170" s="10"/>
      <c r="AB170" s="10"/>
      <c r="AC170" s="10"/>
      <c r="AD170" s="10"/>
      <c r="AE170" s="10"/>
      <c r="AF170" s="10"/>
      <c r="AG170" s="10"/>
      <c r="AH170" s="10"/>
      <c r="AI170" s="10"/>
      <c r="AJ170" s="10"/>
      <c r="AK170" s="10"/>
    </row>
    <row r="171" spans="21:37" x14ac:dyDescent="0.2">
      <c r="U171" s="10">
        <v>7</v>
      </c>
      <c r="V171" s="10"/>
      <c r="W171" s="10" t="s">
        <v>84</v>
      </c>
      <c r="X171" s="10"/>
      <c r="Y171" s="10"/>
      <c r="Z171" s="10"/>
      <c r="AA171" s="10"/>
      <c r="AB171" s="10"/>
      <c r="AC171" s="10"/>
      <c r="AD171" s="10"/>
      <c r="AE171" s="10"/>
      <c r="AF171" s="10"/>
      <c r="AG171" s="10"/>
      <c r="AH171" s="10"/>
      <c r="AI171" s="10"/>
      <c r="AJ171" s="10"/>
      <c r="AK171" s="10"/>
    </row>
    <row r="172" spans="21:37" x14ac:dyDescent="0.2">
      <c r="U172" s="10">
        <v>8</v>
      </c>
      <c r="V172" s="10"/>
      <c r="W172" s="10" t="s">
        <v>74</v>
      </c>
      <c r="X172" s="10"/>
      <c r="Y172" s="10"/>
      <c r="Z172" s="10"/>
      <c r="AA172" s="10"/>
      <c r="AB172" s="10"/>
      <c r="AC172" s="10"/>
      <c r="AD172" s="10"/>
      <c r="AE172" s="10"/>
      <c r="AF172" s="10"/>
      <c r="AG172" s="10"/>
      <c r="AH172" s="10"/>
      <c r="AI172" s="10"/>
      <c r="AJ172" s="10"/>
      <c r="AK172" s="10"/>
    </row>
    <row r="173" spans="21:37" x14ac:dyDescent="0.2">
      <c r="U173" s="10">
        <v>9</v>
      </c>
      <c r="V173" s="10"/>
      <c r="W173" s="10" t="s">
        <v>66</v>
      </c>
      <c r="X173" s="10"/>
      <c r="Y173" s="10"/>
      <c r="Z173" s="10"/>
      <c r="AA173" s="10"/>
      <c r="AB173" s="10"/>
      <c r="AC173" s="10"/>
      <c r="AD173" s="10"/>
      <c r="AE173" s="10"/>
      <c r="AF173" s="10"/>
      <c r="AG173" s="10"/>
      <c r="AH173" s="10"/>
      <c r="AI173" s="10"/>
      <c r="AJ173" s="10"/>
      <c r="AK173" s="10"/>
    </row>
    <row r="174" spans="21:37" x14ac:dyDescent="0.2">
      <c r="U174" s="10">
        <v>10</v>
      </c>
      <c r="V174" s="10"/>
      <c r="W174" s="10" t="s">
        <v>112</v>
      </c>
      <c r="X174" s="10"/>
      <c r="Y174" s="10"/>
      <c r="Z174" s="10"/>
      <c r="AA174" s="10"/>
      <c r="AB174" s="10"/>
      <c r="AC174" s="10"/>
      <c r="AD174" s="10"/>
      <c r="AE174" s="10"/>
      <c r="AF174" s="10"/>
      <c r="AG174" s="10"/>
      <c r="AH174" s="10"/>
      <c r="AI174" s="10"/>
      <c r="AJ174" s="10"/>
      <c r="AK174" s="10"/>
    </row>
    <row r="175" spans="21:37" x14ac:dyDescent="0.2">
      <c r="U175" s="10">
        <v>11</v>
      </c>
      <c r="V175" s="10"/>
      <c r="W175" s="10" t="s">
        <v>94</v>
      </c>
      <c r="X175" s="10"/>
      <c r="Y175" s="10"/>
      <c r="Z175" s="10"/>
      <c r="AA175" s="10"/>
      <c r="AB175" s="10"/>
      <c r="AC175" s="10"/>
      <c r="AD175" s="10"/>
      <c r="AE175" s="10"/>
      <c r="AF175" s="10"/>
      <c r="AG175" s="10"/>
      <c r="AH175" s="10"/>
      <c r="AI175" s="10"/>
      <c r="AJ175" s="10"/>
      <c r="AK175" s="10"/>
    </row>
    <row r="176" spans="21:37" x14ac:dyDescent="0.2">
      <c r="U176" s="10">
        <v>12</v>
      </c>
      <c r="V176" s="10"/>
      <c r="W176" s="10" t="s">
        <v>35</v>
      </c>
      <c r="X176" s="10"/>
      <c r="Y176" s="10"/>
      <c r="Z176" s="10"/>
      <c r="AA176" s="10"/>
      <c r="AB176" s="10"/>
      <c r="AC176" s="10"/>
      <c r="AD176" s="10"/>
      <c r="AE176" s="10"/>
      <c r="AF176" s="10"/>
      <c r="AG176" s="10"/>
      <c r="AH176" s="10"/>
      <c r="AI176" s="10"/>
      <c r="AJ176" s="10"/>
      <c r="AK176" s="10"/>
    </row>
    <row r="177" spans="21:37" x14ac:dyDescent="0.2">
      <c r="U177" s="10">
        <v>13</v>
      </c>
      <c r="V177" s="10"/>
      <c r="W177" s="10" t="s">
        <v>119</v>
      </c>
      <c r="X177" s="10"/>
      <c r="Y177" s="10"/>
      <c r="Z177" s="10"/>
      <c r="AA177" s="10"/>
      <c r="AB177" s="10"/>
      <c r="AC177" s="10"/>
      <c r="AD177" s="10"/>
      <c r="AE177" s="10"/>
      <c r="AF177" s="10"/>
      <c r="AG177" s="10"/>
      <c r="AH177" s="10"/>
      <c r="AI177" s="10"/>
      <c r="AJ177" s="10"/>
      <c r="AK177" s="10"/>
    </row>
    <row r="178" spans="21:37" x14ac:dyDescent="0.2">
      <c r="U178" s="10">
        <v>14</v>
      </c>
      <c r="V178" s="10"/>
      <c r="W178" s="10" t="s">
        <v>89</v>
      </c>
      <c r="X178" s="10"/>
      <c r="Y178" s="10"/>
      <c r="Z178" s="10"/>
      <c r="AA178" s="10"/>
      <c r="AB178" s="10"/>
      <c r="AC178" s="10"/>
      <c r="AD178" s="10"/>
      <c r="AE178" s="10"/>
      <c r="AF178" s="10"/>
      <c r="AG178" s="10"/>
      <c r="AH178" s="10"/>
      <c r="AI178" s="10"/>
      <c r="AJ178" s="10"/>
      <c r="AK178" s="10"/>
    </row>
    <row r="179" spans="21:37" x14ac:dyDescent="0.2">
      <c r="U179" s="10">
        <v>15</v>
      </c>
      <c r="V179" s="10"/>
      <c r="W179" s="10"/>
      <c r="X179" s="10"/>
      <c r="Y179" s="10"/>
      <c r="Z179" s="10"/>
      <c r="AA179" s="10"/>
      <c r="AB179" s="10"/>
      <c r="AC179" s="10"/>
      <c r="AD179" s="10"/>
      <c r="AE179" s="10"/>
      <c r="AF179" s="10"/>
      <c r="AG179" s="10"/>
      <c r="AH179" s="10"/>
      <c r="AI179" s="10"/>
      <c r="AJ179" s="10"/>
      <c r="AK179" s="10"/>
    </row>
    <row r="180" spans="21:37" x14ac:dyDescent="0.2">
      <c r="U180" s="10">
        <v>16</v>
      </c>
      <c r="V180" s="10"/>
      <c r="W180" s="10"/>
      <c r="X180" s="10"/>
      <c r="Y180" s="10"/>
      <c r="Z180" s="10"/>
      <c r="AA180" s="10"/>
      <c r="AB180" s="10"/>
      <c r="AC180" s="10"/>
      <c r="AD180" s="10"/>
      <c r="AE180" s="10"/>
      <c r="AF180" s="10"/>
      <c r="AG180" s="10"/>
      <c r="AH180" s="10"/>
      <c r="AI180" s="10"/>
      <c r="AJ180" s="10"/>
      <c r="AK180" s="10"/>
    </row>
    <row r="181" spans="21:37" x14ac:dyDescent="0.2">
      <c r="U181" s="10">
        <v>17</v>
      </c>
      <c r="V181" s="10"/>
      <c r="W181" s="10"/>
      <c r="X181" s="10"/>
      <c r="Y181" s="10"/>
      <c r="Z181" s="10"/>
      <c r="AA181" s="10"/>
      <c r="AB181" s="10"/>
      <c r="AC181" s="10"/>
      <c r="AD181" s="10"/>
      <c r="AE181" s="10"/>
      <c r="AF181" s="10"/>
      <c r="AG181" s="10"/>
      <c r="AH181" s="10"/>
      <c r="AI181" s="10"/>
      <c r="AJ181" s="10"/>
      <c r="AK181" s="10"/>
    </row>
    <row r="182" spans="21:37" x14ac:dyDescent="0.2">
      <c r="U182" s="10">
        <v>18</v>
      </c>
      <c r="V182" s="10"/>
      <c r="W182" s="10"/>
      <c r="X182" s="10"/>
      <c r="Y182" s="10"/>
      <c r="Z182" s="10"/>
      <c r="AA182" s="10"/>
      <c r="AB182" s="10"/>
      <c r="AC182" s="10"/>
      <c r="AD182" s="10"/>
      <c r="AE182" s="10"/>
      <c r="AF182" s="10"/>
      <c r="AG182" s="10"/>
      <c r="AH182" s="10"/>
      <c r="AI182" s="10"/>
      <c r="AJ182" s="10"/>
      <c r="AK182" s="10"/>
    </row>
    <row r="183" spans="21:37" x14ac:dyDescent="0.2">
      <c r="U183" s="10">
        <v>19</v>
      </c>
      <c r="V183" s="10"/>
      <c r="W183" s="10"/>
      <c r="X183" s="10"/>
      <c r="Y183" s="10"/>
      <c r="Z183" s="10"/>
      <c r="AA183" s="10"/>
      <c r="AB183" s="10"/>
      <c r="AC183" s="10"/>
      <c r="AD183" s="10"/>
      <c r="AE183" s="10"/>
      <c r="AF183" s="10"/>
      <c r="AG183" s="10"/>
      <c r="AH183" s="10"/>
      <c r="AI183" s="10"/>
      <c r="AJ183" s="10"/>
      <c r="AK183" s="10"/>
    </row>
    <row r="184" spans="21:37" x14ac:dyDescent="0.2">
      <c r="U184" s="10">
        <v>1</v>
      </c>
      <c r="V184" s="10" t="s">
        <v>59</v>
      </c>
      <c r="W184" s="10" t="s">
        <v>70</v>
      </c>
      <c r="X184" s="10"/>
      <c r="Y184" s="10"/>
      <c r="Z184" s="10"/>
      <c r="AA184" s="10"/>
      <c r="AB184" s="10"/>
      <c r="AC184" s="10"/>
      <c r="AD184" s="10"/>
      <c r="AE184" s="10"/>
      <c r="AF184" s="10"/>
      <c r="AG184" s="10"/>
      <c r="AH184" s="10"/>
      <c r="AI184" s="10"/>
      <c r="AJ184" s="10"/>
      <c r="AK184" s="10"/>
    </row>
    <row r="185" spans="21:37" x14ac:dyDescent="0.2">
      <c r="U185" s="10">
        <v>2</v>
      </c>
      <c r="V185" s="10"/>
      <c r="W185" s="10" t="s">
        <v>71</v>
      </c>
      <c r="X185" s="10"/>
      <c r="Y185" s="10"/>
      <c r="Z185" s="10"/>
      <c r="AA185" s="10"/>
      <c r="AB185" s="10"/>
      <c r="AC185" s="10"/>
      <c r="AD185" s="10"/>
      <c r="AE185" s="10"/>
      <c r="AF185" s="10"/>
      <c r="AG185" s="10"/>
      <c r="AH185" s="10"/>
      <c r="AI185" s="10"/>
      <c r="AJ185" s="10"/>
      <c r="AK185" s="10"/>
    </row>
    <row r="186" spans="21:37" x14ac:dyDescent="0.2">
      <c r="U186" s="10">
        <v>3</v>
      </c>
      <c r="V186" s="10"/>
      <c r="W186" s="10" t="s">
        <v>83</v>
      </c>
      <c r="X186" s="10"/>
      <c r="Y186" s="10"/>
      <c r="Z186" s="10"/>
      <c r="AA186" s="10"/>
      <c r="AB186" s="10"/>
      <c r="AC186" s="10"/>
      <c r="AD186" s="10"/>
      <c r="AE186" s="10"/>
      <c r="AF186" s="10"/>
      <c r="AG186" s="10"/>
      <c r="AH186" s="10"/>
      <c r="AI186" s="10"/>
      <c r="AJ186" s="10"/>
      <c r="AK186" s="10"/>
    </row>
    <row r="187" spans="21:37" x14ac:dyDescent="0.2">
      <c r="U187" s="10">
        <v>4</v>
      </c>
      <c r="V187" s="10"/>
      <c r="W187" s="10" t="s">
        <v>88</v>
      </c>
      <c r="X187" s="10"/>
      <c r="Y187" s="10"/>
      <c r="Z187" s="10"/>
      <c r="AA187" s="10"/>
      <c r="AB187" s="10"/>
      <c r="AC187" s="10"/>
      <c r="AD187" s="10"/>
      <c r="AE187" s="10"/>
      <c r="AF187" s="10"/>
      <c r="AG187" s="10"/>
      <c r="AH187" s="10"/>
      <c r="AI187" s="10"/>
      <c r="AJ187" s="10"/>
      <c r="AK187" s="10"/>
    </row>
    <row r="188" spans="21:37" x14ac:dyDescent="0.2">
      <c r="U188" s="10">
        <v>5</v>
      </c>
      <c r="V188" s="10"/>
      <c r="W188" s="10" t="s">
        <v>93</v>
      </c>
      <c r="X188" s="10"/>
      <c r="Y188" s="10"/>
      <c r="Z188" s="10"/>
      <c r="AA188" s="10"/>
      <c r="AB188" s="10"/>
      <c r="AC188" s="10"/>
      <c r="AD188" s="10"/>
      <c r="AE188" s="10"/>
      <c r="AF188" s="10"/>
      <c r="AG188" s="10"/>
      <c r="AH188" s="10"/>
      <c r="AI188" s="10"/>
      <c r="AJ188" s="10"/>
      <c r="AK188" s="10"/>
    </row>
    <row r="189" spans="21:37" x14ac:dyDescent="0.2">
      <c r="U189" s="10">
        <v>6</v>
      </c>
      <c r="V189" s="10"/>
      <c r="W189" s="10" t="s">
        <v>79</v>
      </c>
      <c r="X189" s="10"/>
      <c r="Y189" s="10"/>
      <c r="Z189" s="10"/>
      <c r="AA189" s="10"/>
      <c r="AB189" s="10"/>
      <c r="AC189" s="10"/>
      <c r="AD189" s="10"/>
      <c r="AE189" s="10"/>
      <c r="AF189" s="10"/>
      <c r="AG189" s="10"/>
      <c r="AH189" s="10"/>
      <c r="AI189" s="10"/>
      <c r="AJ189" s="10"/>
      <c r="AK189" s="10"/>
    </row>
    <row r="190" spans="21:37" x14ac:dyDescent="0.2">
      <c r="U190" s="10">
        <v>7</v>
      </c>
      <c r="V190" s="10"/>
      <c r="W190" s="10" t="s">
        <v>84</v>
      </c>
      <c r="X190" s="10"/>
      <c r="Y190" s="10"/>
      <c r="Z190" s="10"/>
      <c r="AA190" s="10"/>
      <c r="AB190" s="10"/>
      <c r="AC190" s="10"/>
      <c r="AD190" s="10"/>
      <c r="AE190" s="10"/>
      <c r="AF190" s="10"/>
      <c r="AG190" s="10"/>
      <c r="AH190" s="10"/>
      <c r="AI190" s="10"/>
      <c r="AJ190" s="10"/>
      <c r="AK190" s="10"/>
    </row>
    <row r="191" spans="21:37" x14ac:dyDescent="0.2">
      <c r="U191" s="10">
        <v>8</v>
      </c>
      <c r="V191" s="10"/>
      <c r="W191" s="10" t="s">
        <v>74</v>
      </c>
      <c r="X191" s="10"/>
      <c r="Y191" s="10"/>
      <c r="Z191" s="10"/>
      <c r="AA191" s="10"/>
      <c r="AB191" s="10"/>
      <c r="AC191" s="10"/>
      <c r="AD191" s="10"/>
      <c r="AE191" s="10"/>
      <c r="AF191" s="10"/>
      <c r="AG191" s="10"/>
      <c r="AH191" s="10"/>
      <c r="AI191" s="10"/>
      <c r="AJ191" s="10"/>
      <c r="AK191" s="10"/>
    </row>
    <row r="192" spans="21:37" x14ac:dyDescent="0.2">
      <c r="U192" s="10">
        <v>9</v>
      </c>
      <c r="V192" s="10"/>
      <c r="W192" s="10" t="s">
        <v>66</v>
      </c>
      <c r="X192" s="10"/>
      <c r="Y192" s="10"/>
      <c r="Z192" s="10"/>
      <c r="AA192" s="10"/>
      <c r="AB192" s="10"/>
      <c r="AC192" s="10"/>
      <c r="AD192" s="10"/>
      <c r="AE192" s="10"/>
      <c r="AF192" s="10"/>
      <c r="AG192" s="10"/>
      <c r="AH192" s="10"/>
      <c r="AI192" s="10"/>
      <c r="AJ192" s="10"/>
      <c r="AK192" s="10"/>
    </row>
    <row r="193" spans="21:37" x14ac:dyDescent="0.2">
      <c r="U193" s="10">
        <v>10</v>
      </c>
      <c r="V193" s="10"/>
      <c r="W193" s="10" t="s">
        <v>112</v>
      </c>
      <c r="X193" s="10"/>
      <c r="Y193" s="10"/>
      <c r="Z193" s="10"/>
      <c r="AA193" s="10"/>
      <c r="AB193" s="10"/>
      <c r="AC193" s="10"/>
      <c r="AD193" s="10"/>
      <c r="AE193" s="10"/>
      <c r="AF193" s="10"/>
      <c r="AG193" s="10"/>
      <c r="AH193" s="10"/>
      <c r="AI193" s="10"/>
      <c r="AJ193" s="10"/>
      <c r="AK193" s="10"/>
    </row>
    <row r="194" spans="21:37" x14ac:dyDescent="0.2">
      <c r="U194" s="10">
        <v>11</v>
      </c>
      <c r="V194" s="10"/>
      <c r="W194" s="10" t="s">
        <v>94</v>
      </c>
      <c r="X194" s="10"/>
      <c r="Y194" s="10"/>
      <c r="Z194" s="10"/>
      <c r="AA194" s="10"/>
      <c r="AB194" s="10"/>
      <c r="AC194" s="10"/>
      <c r="AD194" s="10"/>
      <c r="AE194" s="10"/>
      <c r="AF194" s="10"/>
      <c r="AG194" s="10"/>
      <c r="AH194" s="10"/>
      <c r="AI194" s="10"/>
      <c r="AJ194" s="10"/>
      <c r="AK194" s="10"/>
    </row>
    <row r="195" spans="21:37" x14ac:dyDescent="0.2">
      <c r="U195" s="10">
        <v>12</v>
      </c>
      <c r="V195" s="10"/>
      <c r="W195" s="10" t="s">
        <v>35</v>
      </c>
      <c r="X195" s="10"/>
      <c r="Y195" s="10"/>
      <c r="Z195" s="10"/>
      <c r="AA195" s="10"/>
      <c r="AB195" s="10"/>
      <c r="AC195" s="10"/>
      <c r="AD195" s="10"/>
      <c r="AE195" s="10"/>
      <c r="AF195" s="10"/>
      <c r="AG195" s="10"/>
      <c r="AH195" s="10"/>
      <c r="AI195" s="10"/>
      <c r="AJ195" s="10"/>
      <c r="AK195" s="10"/>
    </row>
    <row r="196" spans="21:37" x14ac:dyDescent="0.2">
      <c r="U196" s="10">
        <v>13</v>
      </c>
      <c r="V196" s="10"/>
      <c r="W196" s="10" t="s">
        <v>119</v>
      </c>
      <c r="X196" s="10"/>
      <c r="Y196" s="10"/>
      <c r="Z196" s="10"/>
      <c r="AA196" s="10"/>
      <c r="AB196" s="10"/>
      <c r="AC196" s="10"/>
      <c r="AD196" s="10"/>
      <c r="AE196" s="10"/>
      <c r="AF196" s="10"/>
      <c r="AG196" s="10"/>
      <c r="AH196" s="10"/>
      <c r="AI196" s="10"/>
      <c r="AJ196" s="10"/>
      <c r="AK196" s="10"/>
    </row>
    <row r="197" spans="21:37" x14ac:dyDescent="0.2">
      <c r="U197" s="10">
        <v>14</v>
      </c>
      <c r="V197" s="10"/>
      <c r="W197" s="10" t="s">
        <v>89</v>
      </c>
      <c r="X197" s="10"/>
      <c r="Y197" s="10"/>
      <c r="Z197" s="10"/>
      <c r="AA197" s="10"/>
      <c r="AB197" s="10"/>
      <c r="AC197" s="10"/>
      <c r="AD197" s="10"/>
      <c r="AE197" s="10"/>
      <c r="AF197" s="10"/>
      <c r="AG197" s="10"/>
      <c r="AH197" s="10"/>
      <c r="AI197" s="10"/>
      <c r="AJ197" s="10"/>
      <c r="AK197" s="10"/>
    </row>
    <row r="198" spans="21:37" x14ac:dyDescent="0.2">
      <c r="U198" s="10">
        <v>15</v>
      </c>
      <c r="V198" s="10"/>
      <c r="W198" s="10"/>
      <c r="X198" s="10"/>
      <c r="Y198" s="10"/>
      <c r="Z198" s="10"/>
      <c r="AA198" s="10"/>
      <c r="AB198" s="10"/>
      <c r="AC198" s="10"/>
      <c r="AD198" s="10"/>
      <c r="AE198" s="10"/>
      <c r="AF198" s="10"/>
      <c r="AG198" s="10"/>
      <c r="AH198" s="10"/>
      <c r="AI198" s="10"/>
      <c r="AJ198" s="10"/>
      <c r="AK198" s="10"/>
    </row>
    <row r="199" spans="21:37" x14ac:dyDescent="0.2">
      <c r="U199" s="10">
        <v>16</v>
      </c>
      <c r="V199" s="10"/>
      <c r="W199" s="10"/>
      <c r="X199" s="10"/>
      <c r="Y199" s="10"/>
      <c r="Z199" s="10"/>
      <c r="AA199" s="10"/>
      <c r="AB199" s="10"/>
      <c r="AC199" s="10"/>
      <c r="AD199" s="10"/>
      <c r="AE199" s="10"/>
      <c r="AF199" s="10"/>
      <c r="AG199" s="10"/>
      <c r="AH199" s="10"/>
      <c r="AI199" s="10"/>
      <c r="AJ199" s="10"/>
      <c r="AK199" s="10"/>
    </row>
    <row r="200" spans="21:37" x14ac:dyDescent="0.2">
      <c r="U200" s="10">
        <v>17</v>
      </c>
      <c r="V200" s="10"/>
      <c r="W200" s="10"/>
      <c r="X200" s="10"/>
      <c r="Y200" s="10"/>
      <c r="Z200" s="10"/>
      <c r="AA200" s="10"/>
      <c r="AB200" s="10"/>
      <c r="AC200" s="10"/>
      <c r="AD200" s="10"/>
      <c r="AE200" s="10"/>
      <c r="AF200" s="10"/>
      <c r="AG200" s="10"/>
      <c r="AH200" s="10"/>
      <c r="AI200" s="10"/>
      <c r="AJ200" s="10"/>
      <c r="AK200" s="10"/>
    </row>
    <row r="201" spans="21:37" x14ac:dyDescent="0.2">
      <c r="U201" s="10">
        <v>18</v>
      </c>
      <c r="V201" s="10"/>
      <c r="W201" s="10"/>
      <c r="X201" s="10"/>
      <c r="Y201" s="10"/>
      <c r="Z201" s="10"/>
      <c r="AA201" s="10"/>
      <c r="AB201" s="10"/>
      <c r="AC201" s="10"/>
      <c r="AD201" s="10"/>
      <c r="AE201" s="10"/>
      <c r="AF201" s="10"/>
      <c r="AG201" s="10"/>
      <c r="AH201" s="10"/>
      <c r="AI201" s="10"/>
      <c r="AJ201" s="10"/>
      <c r="AK201" s="10"/>
    </row>
    <row r="202" spans="21:37" x14ac:dyDescent="0.2">
      <c r="U202" s="10">
        <v>19</v>
      </c>
      <c r="V202" s="10"/>
      <c r="W202" s="10"/>
      <c r="X202" s="10"/>
      <c r="Y202" s="10"/>
      <c r="Z202" s="10"/>
      <c r="AA202" s="10"/>
      <c r="AB202" s="10"/>
      <c r="AC202" s="10"/>
      <c r="AD202" s="10"/>
      <c r="AE202" s="10"/>
      <c r="AF202" s="10"/>
      <c r="AG202" s="10"/>
      <c r="AH202" s="10"/>
      <c r="AI202" s="10"/>
      <c r="AJ202" s="10"/>
      <c r="AK202" s="10"/>
    </row>
    <row r="203" spans="21:37" x14ac:dyDescent="0.2">
      <c r="U203" s="10"/>
      <c r="V203" s="10" t="s">
        <v>60</v>
      </c>
      <c r="W203" s="10" t="s">
        <v>71</v>
      </c>
      <c r="X203" s="10"/>
      <c r="Y203" s="10"/>
      <c r="Z203" s="10"/>
      <c r="AA203" s="10"/>
      <c r="AB203" s="10"/>
      <c r="AC203" s="10"/>
      <c r="AD203" s="10"/>
      <c r="AE203" s="10"/>
      <c r="AF203" s="10"/>
      <c r="AG203" s="10"/>
      <c r="AH203" s="10"/>
      <c r="AI203" s="10"/>
      <c r="AJ203" s="10"/>
      <c r="AK203" s="10"/>
    </row>
    <row r="204" spans="21:37" x14ac:dyDescent="0.2">
      <c r="U204" s="10"/>
      <c r="V204" s="10"/>
      <c r="W204" s="10" t="s">
        <v>70</v>
      </c>
      <c r="X204" s="10"/>
      <c r="Y204" s="10"/>
      <c r="Z204" s="10"/>
      <c r="AA204" s="10"/>
      <c r="AB204" s="10"/>
      <c r="AC204" s="10"/>
      <c r="AD204" s="10"/>
      <c r="AE204" s="10"/>
      <c r="AF204" s="10"/>
      <c r="AG204" s="10"/>
      <c r="AH204" s="10"/>
      <c r="AI204" s="10"/>
      <c r="AJ204" s="10"/>
      <c r="AK204" s="10"/>
    </row>
    <row r="205" spans="21:37" x14ac:dyDescent="0.2">
      <c r="U205" s="10"/>
      <c r="V205" s="10"/>
      <c r="W205" s="10" t="s">
        <v>84</v>
      </c>
      <c r="X205" s="10"/>
      <c r="Y205" s="10"/>
      <c r="Z205" s="10"/>
      <c r="AA205" s="10"/>
      <c r="AB205" s="10"/>
      <c r="AC205" s="10"/>
      <c r="AD205" s="10"/>
      <c r="AE205" s="10"/>
      <c r="AF205" s="10"/>
      <c r="AG205" s="10"/>
      <c r="AH205" s="10"/>
      <c r="AI205" s="10"/>
      <c r="AJ205" s="10"/>
      <c r="AK205" s="10"/>
    </row>
    <row r="206" spans="21:37" x14ac:dyDescent="0.2">
      <c r="U206" s="10"/>
      <c r="V206" s="10"/>
      <c r="W206" s="10" t="s">
        <v>89</v>
      </c>
      <c r="X206" s="10"/>
      <c r="Y206" s="10"/>
      <c r="Z206" s="10"/>
      <c r="AA206" s="10"/>
      <c r="AB206" s="10"/>
      <c r="AC206" s="10"/>
      <c r="AD206" s="10"/>
      <c r="AE206" s="10"/>
      <c r="AF206" s="10"/>
      <c r="AG206" s="10"/>
      <c r="AH206" s="10"/>
      <c r="AI206" s="10"/>
      <c r="AJ206" s="10"/>
      <c r="AK206" s="10"/>
    </row>
    <row r="207" spans="21:37" x14ac:dyDescent="0.2">
      <c r="U207" s="10"/>
      <c r="V207" s="10"/>
      <c r="W207" s="10" t="s">
        <v>125</v>
      </c>
      <c r="X207" s="10"/>
      <c r="Y207" s="10"/>
      <c r="Z207" s="10"/>
      <c r="AA207" s="10"/>
      <c r="AB207" s="10"/>
      <c r="AC207" s="10"/>
      <c r="AD207" s="10"/>
      <c r="AE207" s="10"/>
      <c r="AF207" s="10"/>
      <c r="AG207" s="10"/>
      <c r="AH207" s="10"/>
      <c r="AI207" s="10"/>
      <c r="AJ207" s="10"/>
      <c r="AK207" s="10"/>
    </row>
    <row r="208" spans="21:37" x14ac:dyDescent="0.2">
      <c r="U208" s="10"/>
      <c r="V208" s="10"/>
      <c r="W208" s="10"/>
      <c r="X208" s="10"/>
      <c r="Y208" s="10"/>
      <c r="Z208" s="10"/>
      <c r="AA208" s="10"/>
      <c r="AB208" s="10"/>
      <c r="AC208" s="10"/>
      <c r="AD208" s="10"/>
      <c r="AE208" s="10"/>
      <c r="AF208" s="10"/>
      <c r="AG208" s="10"/>
      <c r="AH208" s="10"/>
      <c r="AI208" s="10"/>
      <c r="AJ208" s="10"/>
      <c r="AK208" s="10"/>
    </row>
    <row r="209" spans="21:37" x14ac:dyDescent="0.2">
      <c r="U209" s="10"/>
      <c r="V209" s="10"/>
      <c r="W209" s="10"/>
      <c r="X209" s="10"/>
      <c r="Y209" s="10"/>
      <c r="Z209" s="10"/>
      <c r="AA209" s="10"/>
      <c r="AB209" s="10"/>
      <c r="AC209" s="10"/>
      <c r="AD209" s="10"/>
      <c r="AE209" s="10"/>
      <c r="AF209" s="10"/>
      <c r="AG209" s="10"/>
      <c r="AH209" s="10"/>
      <c r="AI209" s="10"/>
      <c r="AJ209" s="10"/>
      <c r="AK209" s="10"/>
    </row>
    <row r="210" spans="21:37" x14ac:dyDescent="0.2">
      <c r="U210" s="10"/>
      <c r="V210" s="10"/>
      <c r="W210" s="10"/>
      <c r="X210" s="10"/>
      <c r="Y210" s="10"/>
      <c r="Z210" s="10"/>
      <c r="AA210" s="10"/>
      <c r="AB210" s="10"/>
      <c r="AC210" s="10"/>
      <c r="AD210" s="10"/>
      <c r="AE210" s="10"/>
      <c r="AF210" s="10"/>
      <c r="AG210" s="10"/>
      <c r="AH210" s="10"/>
      <c r="AI210" s="10"/>
      <c r="AJ210" s="10"/>
      <c r="AK210" s="10"/>
    </row>
    <row r="211" spans="21:37" x14ac:dyDescent="0.2">
      <c r="U211" s="10"/>
      <c r="V211" s="10"/>
      <c r="W211" s="10"/>
      <c r="X211" s="10"/>
      <c r="Y211" s="10"/>
      <c r="Z211" s="10"/>
      <c r="AA211" s="10"/>
      <c r="AB211" s="10"/>
      <c r="AC211" s="10"/>
      <c r="AD211" s="10"/>
      <c r="AE211" s="10"/>
      <c r="AF211" s="10"/>
      <c r="AG211" s="10"/>
      <c r="AH211" s="10"/>
      <c r="AI211" s="10"/>
      <c r="AJ211" s="10"/>
      <c r="AK211" s="10"/>
    </row>
    <row r="212" spans="21:37" x14ac:dyDescent="0.2">
      <c r="U212" s="10"/>
      <c r="V212" s="10"/>
      <c r="W212" s="10"/>
      <c r="X212" s="10"/>
      <c r="Y212" s="10"/>
      <c r="Z212" s="10"/>
      <c r="AA212" s="10"/>
      <c r="AB212" s="10"/>
      <c r="AC212" s="10"/>
      <c r="AD212" s="10"/>
      <c r="AE212" s="10"/>
      <c r="AF212" s="10"/>
      <c r="AG212" s="10"/>
      <c r="AH212" s="10"/>
      <c r="AI212" s="10"/>
      <c r="AJ212" s="10"/>
      <c r="AK212" s="10"/>
    </row>
    <row r="213" spans="21:37" x14ac:dyDescent="0.2">
      <c r="U213" s="10"/>
      <c r="V213" s="10"/>
      <c r="W213" s="10"/>
      <c r="X213" s="10"/>
      <c r="Y213" s="10"/>
      <c r="Z213" s="10"/>
      <c r="AA213" s="10"/>
      <c r="AB213" s="10"/>
      <c r="AC213" s="10"/>
      <c r="AD213" s="10"/>
      <c r="AE213" s="10"/>
      <c r="AF213" s="10"/>
      <c r="AG213" s="10"/>
      <c r="AH213" s="10"/>
      <c r="AI213" s="10"/>
      <c r="AJ213" s="10"/>
      <c r="AK213" s="10"/>
    </row>
    <row r="214" spans="21:37" x14ac:dyDescent="0.2">
      <c r="U214" s="10"/>
      <c r="V214" s="10"/>
      <c r="W214" s="10"/>
      <c r="X214" s="10"/>
      <c r="Y214" s="10"/>
      <c r="Z214" s="10"/>
      <c r="AA214" s="10"/>
      <c r="AB214" s="10"/>
      <c r="AC214" s="10"/>
      <c r="AD214" s="10"/>
      <c r="AE214" s="10"/>
      <c r="AF214" s="10"/>
      <c r="AG214" s="10"/>
      <c r="AH214" s="10"/>
      <c r="AI214" s="10"/>
      <c r="AJ214" s="10"/>
      <c r="AK214" s="10"/>
    </row>
    <row r="215" spans="21:37" x14ac:dyDescent="0.2">
      <c r="U215" s="10"/>
      <c r="V215" s="10"/>
      <c r="W215" s="10"/>
      <c r="X215" s="10"/>
      <c r="Y215" s="10"/>
      <c r="Z215" s="10"/>
      <c r="AA215" s="10"/>
      <c r="AB215" s="10"/>
      <c r="AC215" s="10"/>
      <c r="AD215" s="10"/>
      <c r="AE215" s="10"/>
      <c r="AF215" s="10"/>
      <c r="AG215" s="10"/>
      <c r="AH215" s="10"/>
      <c r="AI215" s="10"/>
      <c r="AJ215" s="10"/>
      <c r="AK215" s="10"/>
    </row>
    <row r="216" spans="21:37" x14ac:dyDescent="0.2">
      <c r="U216" s="10"/>
      <c r="V216" s="10"/>
      <c r="W216" s="10"/>
      <c r="X216" s="10"/>
      <c r="Y216" s="10"/>
      <c r="Z216" s="10"/>
      <c r="AA216" s="10"/>
      <c r="AB216" s="10"/>
      <c r="AC216" s="10"/>
      <c r="AD216" s="10"/>
      <c r="AE216" s="10"/>
      <c r="AF216" s="10"/>
      <c r="AG216" s="10"/>
      <c r="AH216" s="10"/>
      <c r="AI216" s="10"/>
      <c r="AJ216" s="10"/>
      <c r="AK216" s="10"/>
    </row>
    <row r="217" spans="21:37" x14ac:dyDescent="0.2">
      <c r="U217" s="10"/>
      <c r="V217" s="10"/>
      <c r="W217" s="10"/>
      <c r="X217" s="10"/>
      <c r="Y217" s="10"/>
      <c r="Z217" s="10"/>
      <c r="AA217" s="10"/>
      <c r="AB217" s="10"/>
      <c r="AC217" s="10"/>
      <c r="AD217" s="10"/>
      <c r="AE217" s="10"/>
      <c r="AF217" s="10"/>
      <c r="AG217" s="10"/>
      <c r="AH217" s="10"/>
      <c r="AI217" s="10"/>
      <c r="AJ217" s="10"/>
      <c r="AK217" s="10"/>
    </row>
    <row r="218" spans="21:37" x14ac:dyDescent="0.2">
      <c r="U218" s="10"/>
      <c r="V218" s="10"/>
      <c r="W218" s="10"/>
      <c r="X218" s="10"/>
      <c r="Y218" s="10"/>
      <c r="Z218" s="10"/>
      <c r="AA218" s="10"/>
      <c r="AB218" s="10"/>
      <c r="AC218" s="10"/>
      <c r="AD218" s="10"/>
      <c r="AE218" s="10"/>
      <c r="AF218" s="10"/>
      <c r="AG218" s="10"/>
      <c r="AH218" s="10"/>
      <c r="AI218" s="10"/>
      <c r="AJ218" s="10"/>
      <c r="AK218" s="10"/>
    </row>
    <row r="219" spans="21:37" x14ac:dyDescent="0.2">
      <c r="U219" s="10"/>
      <c r="V219" s="10"/>
      <c r="W219" s="10"/>
      <c r="X219" s="10"/>
      <c r="Y219" s="10"/>
      <c r="Z219" s="10"/>
      <c r="AA219" s="10"/>
      <c r="AB219" s="10"/>
      <c r="AC219" s="10"/>
      <c r="AD219" s="10"/>
      <c r="AE219" s="10"/>
      <c r="AF219" s="10"/>
      <c r="AG219" s="10"/>
      <c r="AH219" s="10"/>
      <c r="AI219" s="10"/>
      <c r="AJ219" s="10"/>
      <c r="AK219" s="10"/>
    </row>
  </sheetData>
  <mergeCells count="34">
    <mergeCell ref="C63:O65"/>
    <mergeCell ref="C66:O69"/>
    <mergeCell ref="L10:M10"/>
    <mergeCell ref="N10:O10"/>
    <mergeCell ref="C23:F24"/>
    <mergeCell ref="P11:P12"/>
    <mergeCell ref="C12:D12"/>
    <mergeCell ref="C59:O59"/>
    <mergeCell ref="C60:O62"/>
    <mergeCell ref="L23:M25"/>
    <mergeCell ref="L26:M28"/>
    <mergeCell ref="C2:D2"/>
    <mergeCell ref="F2:G2"/>
    <mergeCell ref="M2:P2"/>
    <mergeCell ref="C3:D3"/>
    <mergeCell ref="F3:J3"/>
    <mergeCell ref="M3:P3"/>
    <mergeCell ref="N6:O6"/>
    <mergeCell ref="M4:P4"/>
    <mergeCell ref="C7:D7"/>
    <mergeCell ref="L7:M7"/>
    <mergeCell ref="N7:O7"/>
    <mergeCell ref="C4:D4"/>
    <mergeCell ref="F4:J4"/>
    <mergeCell ref="C6:D6"/>
    <mergeCell ref="L6:M6"/>
    <mergeCell ref="L8:M8"/>
    <mergeCell ref="N8:O8"/>
    <mergeCell ref="N9:O9"/>
    <mergeCell ref="F11:F12"/>
    <mergeCell ref="O11:O12"/>
    <mergeCell ref="K12:L12"/>
    <mergeCell ref="C9:F9"/>
    <mergeCell ref="L9:M9"/>
  </mergeCells>
  <phoneticPr fontId="51" type="noConversion"/>
  <hyperlinks>
    <hyperlink ref="M4" r:id="rId1" xr:uid="{00000000-0004-0000-0200-000000000000}"/>
  </hyperlinks>
  <printOptions horizontalCentered="1" verticalCentered="1"/>
  <pageMargins left="0.55138888888888893" right="0.55138888888888893" top="0.78749999999999998" bottom="0.78749999999999998" header="0.51180555555555551" footer="0.51180555555555551"/>
  <pageSetup paperSize="9" scale="61" firstPageNumber="0" orientation="portrait" horizontalDpi="300" verticalDpi="300" r:id="rId2"/>
  <headerFooter alignWithMargins="0">
    <oddHeader xml:space="preserve">&amp;R&amp;28 </oddHeader>
  </headerFooter>
  <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6"/>
  <sheetViews>
    <sheetView workbookViewId="0">
      <selection activeCell="C17" sqref="C17"/>
    </sheetView>
  </sheetViews>
  <sheetFormatPr defaultColWidth="8.85546875" defaultRowHeight="12.75" x14ac:dyDescent="0.2"/>
  <cols>
    <col min="2" max="2" width="18.42578125" customWidth="1"/>
    <col min="3" max="4" width="14.28515625" customWidth="1"/>
  </cols>
  <sheetData>
    <row r="1" spans="1:4" x14ac:dyDescent="0.2">
      <c r="B1" t="s">
        <v>126</v>
      </c>
      <c r="C1" t="s">
        <v>127</v>
      </c>
      <c r="D1" t="s">
        <v>128</v>
      </c>
    </row>
    <row r="2" spans="1:4" x14ac:dyDescent="0.2">
      <c r="A2" t="s">
        <v>129</v>
      </c>
      <c r="B2" t="str">
        <f>Details!B5</f>
        <v>Customer Name</v>
      </c>
      <c r="C2" t="str">
        <f>Details!D5</f>
        <v>Mackay</v>
      </c>
      <c r="D2" t="s">
        <v>2</v>
      </c>
    </row>
    <row r="3" spans="1:4" x14ac:dyDescent="0.2">
      <c r="A3" t="s">
        <v>129</v>
      </c>
      <c r="B3" t="str">
        <f>Details!C7</f>
        <v>Street:</v>
      </c>
      <c r="C3">
        <f>Details!D7</f>
        <v>0</v>
      </c>
      <c r="D3" t="s">
        <v>2</v>
      </c>
    </row>
    <row r="4" spans="1:4" x14ac:dyDescent="0.2">
      <c r="A4" t="s">
        <v>129</v>
      </c>
      <c r="B4" t="str">
        <f>Details!C8</f>
        <v>Suburb:</v>
      </c>
      <c r="C4">
        <f>Details!D8</f>
        <v>0</v>
      </c>
      <c r="D4" t="s">
        <v>2</v>
      </c>
    </row>
    <row r="5" spans="1:4" x14ac:dyDescent="0.2">
      <c r="A5" t="s">
        <v>129</v>
      </c>
      <c r="B5" t="str">
        <f>Details!C9</f>
        <v>State:</v>
      </c>
      <c r="C5" t="str">
        <f>Details!D9</f>
        <v>-</v>
      </c>
      <c r="D5" t="s">
        <v>2</v>
      </c>
    </row>
    <row r="6" spans="1:4" x14ac:dyDescent="0.2">
      <c r="A6" t="s">
        <v>129</v>
      </c>
      <c r="B6" t="str">
        <f>Details!E9</f>
        <v>Postcode:</v>
      </c>
      <c r="C6" t="str">
        <f>Details!F9</f>
        <v>-</v>
      </c>
      <c r="D6" t="s">
        <v>2</v>
      </c>
    </row>
    <row r="7" spans="1:4" x14ac:dyDescent="0.2">
      <c r="A7" t="s">
        <v>129</v>
      </c>
      <c r="B7" t="str">
        <f>Details!B13</f>
        <v>Phone Number:</v>
      </c>
      <c r="C7" s="90" t="str">
        <f>Details!D13</f>
        <v>-</v>
      </c>
      <c r="D7" s="90" t="s">
        <v>2</v>
      </c>
    </row>
    <row r="8" spans="1:4" x14ac:dyDescent="0.2">
      <c r="A8" t="s">
        <v>129</v>
      </c>
      <c r="B8" t="str">
        <f>Details!B14</f>
        <v>Fax Number:</v>
      </c>
      <c r="C8" s="90" t="str">
        <f>Details!D14</f>
        <v>-</v>
      </c>
      <c r="D8" s="90" t="s">
        <v>2</v>
      </c>
    </row>
    <row r="9" spans="1:4" x14ac:dyDescent="0.2">
      <c r="A9" t="s">
        <v>129</v>
      </c>
      <c r="B9" t="str">
        <f>Details!B10</f>
        <v>Email:</v>
      </c>
      <c r="C9" t="str">
        <f>Details!D10</f>
        <v>-</v>
      </c>
      <c r="D9" s="90" t="s">
        <v>2</v>
      </c>
    </row>
    <row r="10" spans="1:4" x14ac:dyDescent="0.2">
      <c r="A10" t="s">
        <v>129</v>
      </c>
      <c r="B10" t="str">
        <f>Details!B18</f>
        <v>Take off Ropes/Lacing:</v>
      </c>
      <c r="C10">
        <f>Details!D18</f>
        <v>150</v>
      </c>
      <c r="D10">
        <v>130</v>
      </c>
    </row>
    <row r="11" spans="1:4" x14ac:dyDescent="0.2">
      <c r="A11" t="s">
        <v>129</v>
      </c>
      <c r="B11" t="str">
        <f>Details!B23</f>
        <v>Take Off for T Buckle:</v>
      </c>
      <c r="C11">
        <f>Details!D23</f>
        <v>400</v>
      </c>
      <c r="D11">
        <v>210</v>
      </c>
    </row>
    <row r="12" spans="1:4" x14ac:dyDescent="0.2">
      <c r="A12" t="s">
        <v>129</v>
      </c>
      <c r="B12" t="str">
        <f>Details!B24</f>
        <v>Take Off for D.S.:</v>
      </c>
      <c r="C12">
        <f>Details!D24</f>
        <v>80</v>
      </c>
      <c r="D12">
        <v>32</v>
      </c>
    </row>
    <row r="13" spans="1:4" x14ac:dyDescent="0.2">
      <c r="A13" t="s">
        <v>129</v>
      </c>
      <c r="B13" t="str">
        <f>Details!B25</f>
        <v>Cable Style:</v>
      </c>
      <c r="C13" t="str">
        <f>Details!D25</f>
        <v>Continuous</v>
      </c>
      <c r="D13">
        <v>0</v>
      </c>
    </row>
    <row r="14" spans="1:4" x14ac:dyDescent="0.2">
      <c r="A14" t="s">
        <v>129</v>
      </c>
      <c r="B14" t="str">
        <f>Details!B26</f>
        <v>Delivery Option:</v>
      </c>
      <c r="C14" t="str">
        <f>Details!D26</f>
        <v>Pickup</v>
      </c>
      <c r="D14" t="s">
        <v>19</v>
      </c>
    </row>
    <row r="15" spans="1:4" x14ac:dyDescent="0.2">
      <c r="A15" t="s">
        <v>129</v>
      </c>
      <c r="B15" t="s">
        <v>21</v>
      </c>
      <c r="C15" t="str">
        <f>Details!D27</f>
        <v>Underside</v>
      </c>
      <c r="D15" t="s">
        <v>2</v>
      </c>
    </row>
    <row r="16" spans="1:4" x14ac:dyDescent="0.2">
      <c r="A16" t="s">
        <v>129</v>
      </c>
      <c r="B16" t="str">
        <f>Details!C11</f>
        <v>Email Server:</v>
      </c>
      <c r="C16" t="str">
        <f>Details!D11</f>
        <v>-</v>
      </c>
      <c r="D16" t="s">
        <v>2</v>
      </c>
    </row>
    <row r="17" spans="1:4" x14ac:dyDescent="0.2">
      <c r="A17" t="s">
        <v>129</v>
      </c>
      <c r="B17" t="str">
        <f>Details!C12</f>
        <v>Email Authentication:</v>
      </c>
      <c r="C17" s="90">
        <f>Details!D12</f>
        <v>0</v>
      </c>
    </row>
    <row r="18" spans="1:4" x14ac:dyDescent="0.2">
      <c r="A18" t="s">
        <v>130</v>
      </c>
      <c r="B18" t="str">
        <f>Main!C2</f>
        <v>DATE:</v>
      </c>
      <c r="C18" s="91">
        <f ca="1">Main!F2</f>
        <v>46135</v>
      </c>
      <c r="D18" s="91">
        <f ca="1">TODAY()</f>
        <v>46135</v>
      </c>
    </row>
    <row r="19" spans="1:4" x14ac:dyDescent="0.2">
      <c r="A19" t="s">
        <v>130</v>
      </c>
      <c r="B19" t="str">
        <f>Main!C4</f>
        <v>REF:</v>
      </c>
      <c r="C19">
        <f>Main!F4</f>
        <v>0</v>
      </c>
      <c r="D19" t="s">
        <v>2</v>
      </c>
    </row>
    <row r="20" spans="1:4" x14ac:dyDescent="0.2">
      <c r="A20" t="s">
        <v>130</v>
      </c>
      <c r="B20" t="str">
        <f>Main!C6</f>
        <v>BRAND:</v>
      </c>
      <c r="C20" s="90" t="str">
        <f>Main!F6</f>
        <v>Z 16</v>
      </c>
      <c r="D20">
        <v>0</v>
      </c>
    </row>
    <row r="21" spans="1:4" x14ac:dyDescent="0.2">
      <c r="A21" t="s">
        <v>130</v>
      </c>
      <c r="B21" t="str">
        <f>Main!C7</f>
        <v>COLOUR:</v>
      </c>
      <c r="C21" s="90" t="str">
        <f>Main!F7</f>
        <v>CHARCOAL</v>
      </c>
    </row>
    <row r="22" spans="1:4" x14ac:dyDescent="0.2">
      <c r="A22" t="s">
        <v>130</v>
      </c>
      <c r="B22" t="str">
        <f>Main!C9</f>
        <v>Number of fixing points</v>
      </c>
      <c r="C22">
        <f>Main!G9</f>
        <v>6</v>
      </c>
      <c r="D22">
        <v>4</v>
      </c>
    </row>
    <row r="23" spans="1:4" x14ac:dyDescent="0.2">
      <c r="A23" t="s">
        <v>130</v>
      </c>
      <c r="B23">
        <f>Main!K8</f>
        <v>0</v>
      </c>
      <c r="C23">
        <f>Main!M8</f>
        <v>0</v>
      </c>
      <c r="D23" t="str">
        <f>Details!D25</f>
        <v>Continuous</v>
      </c>
    </row>
    <row r="24" spans="1:4" x14ac:dyDescent="0.2">
      <c r="A24" t="s">
        <v>130</v>
      </c>
      <c r="B24">
        <f>Main!K6</f>
        <v>0</v>
      </c>
      <c r="C24">
        <f>Main!M6</f>
        <v>0</v>
      </c>
      <c r="D24" t="s">
        <v>33</v>
      </c>
    </row>
    <row r="25" spans="1:4" x14ac:dyDescent="0.2">
      <c r="A25" t="s">
        <v>130</v>
      </c>
      <c r="B25" t="s">
        <v>131</v>
      </c>
      <c r="C25">
        <f>Main!M9</f>
        <v>0</v>
      </c>
    </row>
    <row r="26" spans="1:4" x14ac:dyDescent="0.2">
      <c r="A26" t="s">
        <v>130</v>
      </c>
      <c r="B26" t="str">
        <f>Main!C13</f>
        <v>A-B</v>
      </c>
      <c r="C26" s="92">
        <f>Main!D13</f>
        <v>4370</v>
      </c>
      <c r="D26" s="92" t="s">
        <v>2</v>
      </c>
    </row>
    <row r="27" spans="1:4" x14ac:dyDescent="0.2">
      <c r="A27" t="s">
        <v>130</v>
      </c>
      <c r="B27" t="str">
        <f>Main!C14</f>
        <v>B-C</v>
      </c>
      <c r="C27" s="92">
        <f>Main!D14</f>
        <v>4340</v>
      </c>
      <c r="D27" s="92" t="s">
        <v>2</v>
      </c>
    </row>
    <row r="28" spans="1:4" x14ac:dyDescent="0.2">
      <c r="A28" t="s">
        <v>130</v>
      </c>
      <c r="B28" t="str">
        <f>Main!C15</f>
        <v>C-D</v>
      </c>
      <c r="C28" s="92">
        <f>Main!D15</f>
        <v>7160</v>
      </c>
      <c r="D28" s="92" t="s">
        <v>2</v>
      </c>
    </row>
    <row r="29" spans="1:4" x14ac:dyDescent="0.2">
      <c r="A29" t="s">
        <v>130</v>
      </c>
      <c r="B29" t="str">
        <f>Main!C16</f>
        <v>D-E</v>
      </c>
      <c r="C29" s="92">
        <f>Main!D16</f>
        <v>3490</v>
      </c>
      <c r="D29" s="92" t="s">
        <v>2</v>
      </c>
    </row>
    <row r="30" spans="1:4" x14ac:dyDescent="0.2">
      <c r="A30" t="s">
        <v>130</v>
      </c>
      <c r="B30" t="str">
        <f>Main!C17</f>
        <v>E-F</v>
      </c>
      <c r="C30" s="92">
        <f>Main!D17</f>
        <v>2600</v>
      </c>
      <c r="D30" s="92" t="s">
        <v>2</v>
      </c>
    </row>
    <row r="31" spans="1:4" x14ac:dyDescent="0.2">
      <c r="A31" t="s">
        <v>130</v>
      </c>
      <c r="B31" t="str">
        <f>Main!C18</f>
        <v>F-A</v>
      </c>
      <c r="C31" s="92">
        <f>Main!D18</f>
        <v>7480</v>
      </c>
      <c r="D31" s="92" t="s">
        <v>2</v>
      </c>
    </row>
    <row r="32" spans="1:4" x14ac:dyDescent="0.2">
      <c r="A32" t="s">
        <v>130</v>
      </c>
      <c r="B32" t="str">
        <f>Main!C19</f>
        <v/>
      </c>
      <c r="C32" s="92" t="str">
        <f>Main!D19</f>
        <v>-</v>
      </c>
      <c r="D32" s="92" t="s">
        <v>2</v>
      </c>
    </row>
    <row r="33" spans="1:4" x14ac:dyDescent="0.2">
      <c r="A33" t="s">
        <v>130</v>
      </c>
      <c r="B33" t="str">
        <f>Main!C20</f>
        <v/>
      </c>
      <c r="C33" s="92" t="str">
        <f>Main!D20</f>
        <v>-</v>
      </c>
      <c r="D33" s="92" t="s">
        <v>2</v>
      </c>
    </row>
    <row r="34" spans="1:4" x14ac:dyDescent="0.2">
      <c r="A34" t="s">
        <v>130</v>
      </c>
      <c r="B34" t="str">
        <f>Main!I13</f>
        <v>A</v>
      </c>
      <c r="C34" s="92">
        <f>Main!J13</f>
        <v>0</v>
      </c>
      <c r="D34" s="92" t="s">
        <v>2</v>
      </c>
    </row>
    <row r="35" spans="1:4" x14ac:dyDescent="0.2">
      <c r="A35" t="s">
        <v>130</v>
      </c>
      <c r="B35" t="str">
        <f>Main!I14</f>
        <v>B</v>
      </c>
      <c r="C35" s="92">
        <f>Main!J14</f>
        <v>0</v>
      </c>
      <c r="D35" s="92" t="s">
        <v>2</v>
      </c>
    </row>
    <row r="36" spans="1:4" x14ac:dyDescent="0.2">
      <c r="A36" t="s">
        <v>130</v>
      </c>
      <c r="B36" t="str">
        <f>Main!I15</f>
        <v>C</v>
      </c>
      <c r="C36" s="92">
        <f>Main!J15</f>
        <v>0</v>
      </c>
      <c r="D36" s="92" t="s">
        <v>2</v>
      </c>
    </row>
    <row r="37" spans="1:4" x14ac:dyDescent="0.2">
      <c r="A37" t="s">
        <v>130</v>
      </c>
      <c r="B37" t="str">
        <f>Main!I16</f>
        <v>D</v>
      </c>
      <c r="C37" s="92">
        <f>Main!J16</f>
        <v>0</v>
      </c>
      <c r="D37" s="92" t="s">
        <v>2</v>
      </c>
    </row>
    <row r="38" spans="1:4" x14ac:dyDescent="0.2">
      <c r="A38" t="s">
        <v>130</v>
      </c>
      <c r="B38" t="str">
        <f>Main!I17</f>
        <v>E</v>
      </c>
      <c r="C38" s="92">
        <f>Main!J17</f>
        <v>0</v>
      </c>
      <c r="D38" s="92" t="s">
        <v>2</v>
      </c>
    </row>
    <row r="39" spans="1:4" x14ac:dyDescent="0.2">
      <c r="A39" t="s">
        <v>130</v>
      </c>
      <c r="B39" t="str">
        <f>Main!I18</f>
        <v>F</v>
      </c>
      <c r="C39" s="92">
        <f>Main!J18</f>
        <v>0</v>
      </c>
      <c r="D39" s="92" t="s">
        <v>2</v>
      </c>
    </row>
    <row r="40" spans="1:4" x14ac:dyDescent="0.2">
      <c r="A40" t="s">
        <v>130</v>
      </c>
      <c r="B40" t="str">
        <f>Main!I19</f>
        <v/>
      </c>
      <c r="C40" s="92">
        <f>Main!J19</f>
        <v>0</v>
      </c>
      <c r="D40" s="92" t="s">
        <v>2</v>
      </c>
    </row>
    <row r="41" spans="1:4" x14ac:dyDescent="0.2">
      <c r="A41" t="s">
        <v>130</v>
      </c>
      <c r="B41" t="str">
        <f>Main!I20</f>
        <v/>
      </c>
      <c r="C41" s="92">
        <f>Main!J20</f>
        <v>0</v>
      </c>
      <c r="D41" s="92" t="s">
        <v>2</v>
      </c>
    </row>
    <row r="42" spans="1:4" x14ac:dyDescent="0.2">
      <c r="A42" t="s">
        <v>130</v>
      </c>
      <c r="B42">
        <f>Main!$J$22</f>
        <v>0</v>
      </c>
      <c r="C42">
        <f>Main!J23</f>
        <v>0</v>
      </c>
      <c r="D42" t="s">
        <v>2</v>
      </c>
    </row>
    <row r="43" spans="1:4" x14ac:dyDescent="0.2">
      <c r="A43" t="s">
        <v>130</v>
      </c>
      <c r="B43">
        <f>Main!$J$22</f>
        <v>0</v>
      </c>
      <c r="C43">
        <f>Main!J24</f>
        <v>0</v>
      </c>
      <c r="D43" t="s">
        <v>2</v>
      </c>
    </row>
    <row r="44" spans="1:4" x14ac:dyDescent="0.2">
      <c r="A44" t="s">
        <v>130</v>
      </c>
      <c r="B44">
        <f>Main!$J$22</f>
        <v>0</v>
      </c>
      <c r="C44">
        <f>Main!J25</f>
        <v>0</v>
      </c>
      <c r="D44" t="s">
        <v>2</v>
      </c>
    </row>
    <row r="45" spans="1:4" x14ac:dyDescent="0.2">
      <c r="A45" t="s">
        <v>130</v>
      </c>
      <c r="B45">
        <f>Main!$J$22</f>
        <v>0</v>
      </c>
      <c r="C45">
        <f>Main!J26</f>
        <v>0</v>
      </c>
      <c r="D45" t="s">
        <v>2</v>
      </c>
    </row>
    <row r="46" spans="1:4" x14ac:dyDescent="0.2">
      <c r="A46" t="s">
        <v>130</v>
      </c>
      <c r="B46">
        <f>Main!$J$22</f>
        <v>0</v>
      </c>
      <c r="C46">
        <f>Main!J27</f>
        <v>0</v>
      </c>
      <c r="D46" t="s">
        <v>2</v>
      </c>
    </row>
    <row r="47" spans="1:4" x14ac:dyDescent="0.2">
      <c r="A47" t="s">
        <v>130</v>
      </c>
      <c r="B47">
        <f>Main!$J$22</f>
        <v>0</v>
      </c>
      <c r="C47">
        <f>Main!J28</f>
        <v>0</v>
      </c>
      <c r="D47" t="s">
        <v>2</v>
      </c>
    </row>
    <row r="48" spans="1:4" x14ac:dyDescent="0.2">
      <c r="A48" t="s">
        <v>130</v>
      </c>
      <c r="B48" t="str">
        <f>Main!B27&amp;" "&amp;Print!C28</f>
        <v xml:space="preserve"> A-C</v>
      </c>
      <c r="C48" s="92">
        <f>Main!D24</f>
        <v>7750</v>
      </c>
      <c r="D48" s="92" t="s">
        <v>2</v>
      </c>
    </row>
    <row r="49" spans="1:4" x14ac:dyDescent="0.2">
      <c r="A49" t="s">
        <v>130</v>
      </c>
      <c r="B49" t="str">
        <f>Main!B28&amp;" "&amp;Print!C29</f>
        <v xml:space="preserve"> A-D</v>
      </c>
      <c r="C49" s="92">
        <f>Main!D25</f>
        <v>10420</v>
      </c>
      <c r="D49" s="92" t="s">
        <v>2</v>
      </c>
    </row>
    <row r="50" spans="1:4" x14ac:dyDescent="0.2">
      <c r="A50" t="s">
        <v>130</v>
      </c>
      <c r="B50" t="str">
        <f>Main!B29&amp;" "&amp;Print!C30</f>
        <v xml:space="preserve"> A-E</v>
      </c>
      <c r="C50" s="92">
        <f>Main!D26</f>
        <v>8280</v>
      </c>
      <c r="D50" s="92" t="s">
        <v>2</v>
      </c>
    </row>
    <row r="51" spans="1:4" x14ac:dyDescent="0.2">
      <c r="A51" t="s">
        <v>130</v>
      </c>
      <c r="B51" t="str">
        <f>Main!B30&amp;" "&amp;Print!C31</f>
        <v xml:space="preserve"> B-D</v>
      </c>
      <c r="C51" s="92">
        <f>Main!D27</f>
        <v>8300</v>
      </c>
      <c r="D51" s="92" t="s">
        <v>2</v>
      </c>
    </row>
    <row r="52" spans="1:4" x14ac:dyDescent="0.2">
      <c r="A52" t="s">
        <v>130</v>
      </c>
      <c r="B52" t="str">
        <f>Main!B31&amp;" "&amp;Print!C32</f>
        <v xml:space="preserve"> B-E</v>
      </c>
      <c r="C52" s="92">
        <f>Main!D28</f>
        <v>7390</v>
      </c>
      <c r="D52" s="92" t="s">
        <v>2</v>
      </c>
    </row>
    <row r="53" spans="1:4" x14ac:dyDescent="0.2">
      <c r="A53" t="s">
        <v>130</v>
      </c>
      <c r="B53" t="str">
        <f>Main!B32&amp;" "&amp;Print!C33</f>
        <v xml:space="preserve"> B-F</v>
      </c>
      <c r="C53" s="92">
        <f>Main!D29</f>
        <v>8020</v>
      </c>
      <c r="D53" s="92" t="s">
        <v>2</v>
      </c>
    </row>
    <row r="54" spans="1:4" x14ac:dyDescent="0.2">
      <c r="A54" t="s">
        <v>130</v>
      </c>
      <c r="B54" t="str">
        <f>Main!B33&amp;" "&amp;Print!C34</f>
        <v xml:space="preserve"> C-E</v>
      </c>
      <c r="C54" s="92">
        <f>Main!D30</f>
        <v>8080</v>
      </c>
      <c r="D54" s="92" t="s">
        <v>2</v>
      </c>
    </row>
    <row r="55" spans="1:4" x14ac:dyDescent="0.2">
      <c r="A55" t="s">
        <v>130</v>
      </c>
      <c r="B55" t="str">
        <f>Main!B34&amp;" "&amp;Print!C35</f>
        <v xml:space="preserve"> C-F</v>
      </c>
      <c r="C55" s="92">
        <f>Main!D31</f>
        <v>9570</v>
      </c>
      <c r="D55" s="92" t="s">
        <v>2</v>
      </c>
    </row>
    <row r="56" spans="1:4" x14ac:dyDescent="0.2">
      <c r="A56" t="s">
        <v>130</v>
      </c>
      <c r="B56" t="str">
        <f>Main!B35&amp;" "&amp;Print!C36</f>
        <v xml:space="preserve"> D-F</v>
      </c>
      <c r="C56" s="92">
        <f>Main!D32</f>
        <v>5990</v>
      </c>
      <c r="D56" s="92" t="s">
        <v>2</v>
      </c>
    </row>
    <row r="57" spans="1:4" x14ac:dyDescent="0.2">
      <c r="A57" t="s">
        <v>130</v>
      </c>
      <c r="B57" t="str">
        <f>Main!B36&amp;" "&amp;Print!C37</f>
        <v xml:space="preserve"> </v>
      </c>
      <c r="C57" s="92" t="str">
        <f>Main!D33</f>
        <v>-</v>
      </c>
      <c r="D57" s="92" t="s">
        <v>2</v>
      </c>
    </row>
    <row r="58" spans="1:4" x14ac:dyDescent="0.2">
      <c r="A58" t="s">
        <v>130</v>
      </c>
      <c r="B58" t="str">
        <f>Main!B37&amp;" "&amp;Print!C38</f>
        <v xml:space="preserve"> </v>
      </c>
      <c r="C58" s="92" t="str">
        <f>Main!D34</f>
        <v>-</v>
      </c>
      <c r="D58" s="92" t="s">
        <v>2</v>
      </c>
    </row>
    <row r="59" spans="1:4" x14ac:dyDescent="0.2">
      <c r="A59" t="s">
        <v>130</v>
      </c>
      <c r="B59" t="str">
        <f>Main!B38&amp;" "&amp;Print!C39</f>
        <v xml:space="preserve"> </v>
      </c>
      <c r="C59" s="92" t="str">
        <f>Main!D35</f>
        <v>-</v>
      </c>
      <c r="D59" s="92" t="s">
        <v>2</v>
      </c>
    </row>
    <row r="60" spans="1:4" x14ac:dyDescent="0.2">
      <c r="A60" t="s">
        <v>130</v>
      </c>
      <c r="B60" t="str">
        <f>Main!B39&amp;" "&amp;Print!C40</f>
        <v xml:space="preserve"> </v>
      </c>
      <c r="C60" s="92" t="str">
        <f>Main!D36</f>
        <v>-</v>
      </c>
      <c r="D60" s="92" t="s">
        <v>2</v>
      </c>
    </row>
    <row r="61" spans="1:4" x14ac:dyDescent="0.2">
      <c r="A61" t="s">
        <v>130</v>
      </c>
      <c r="B61" t="str">
        <f>Main!B40&amp;" "&amp;Print!C41</f>
        <v xml:space="preserve"> </v>
      </c>
      <c r="C61" s="92" t="str">
        <f>Main!D37</f>
        <v>-</v>
      </c>
      <c r="D61" s="92" t="s">
        <v>2</v>
      </c>
    </row>
    <row r="62" spans="1:4" x14ac:dyDescent="0.2">
      <c r="A62" t="s">
        <v>130</v>
      </c>
      <c r="B62" t="str">
        <f>Main!B41&amp;" "&amp;Print!C42</f>
        <v xml:space="preserve"> </v>
      </c>
      <c r="C62" s="92" t="str">
        <f>Main!D38</f>
        <v>-</v>
      </c>
      <c r="D62" s="92" t="s">
        <v>2</v>
      </c>
    </row>
    <row r="63" spans="1:4" x14ac:dyDescent="0.2">
      <c r="A63" t="s">
        <v>130</v>
      </c>
      <c r="B63" t="str">
        <f>Main!B42&amp;" "&amp;Print!C43</f>
        <v xml:space="preserve"> </v>
      </c>
      <c r="C63" s="92" t="str">
        <f>Main!D39</f>
        <v>-</v>
      </c>
      <c r="D63" s="92" t="s">
        <v>2</v>
      </c>
    </row>
    <row r="64" spans="1:4" x14ac:dyDescent="0.2">
      <c r="A64" t="s">
        <v>130</v>
      </c>
      <c r="B64" t="str">
        <f>Main!B43&amp;" "&amp;Print!C44</f>
        <v xml:space="preserve"> </v>
      </c>
      <c r="C64" s="92" t="str">
        <f>Main!D40</f>
        <v>-</v>
      </c>
      <c r="D64" s="92" t="s">
        <v>2</v>
      </c>
    </row>
    <row r="65" spans="1:4" x14ac:dyDescent="0.2">
      <c r="A65" t="s">
        <v>130</v>
      </c>
      <c r="B65" t="str">
        <f>Main!B44&amp;" "&amp;Print!C45</f>
        <v xml:space="preserve"> </v>
      </c>
      <c r="C65" s="92" t="str">
        <f>Main!D41</f>
        <v>-</v>
      </c>
      <c r="D65" s="92" t="s">
        <v>2</v>
      </c>
    </row>
    <row r="66" spans="1:4" x14ac:dyDescent="0.2">
      <c r="A66" t="s">
        <v>130</v>
      </c>
      <c r="B66" t="str">
        <f>Main!B45&amp;" "&amp;Print!C46</f>
        <v xml:space="preserve"> </v>
      </c>
      <c r="C66" s="92" t="str">
        <f>Main!D42</f>
        <v>-</v>
      </c>
      <c r="D66" s="92" t="s">
        <v>2</v>
      </c>
    </row>
    <row r="67" spans="1:4" x14ac:dyDescent="0.2">
      <c r="A67" t="s">
        <v>130</v>
      </c>
      <c r="B67" t="str">
        <f>Main!B46&amp;" "&amp;Print!C47</f>
        <v xml:space="preserve"> </v>
      </c>
      <c r="C67" s="92" t="str">
        <f>Main!D43</f>
        <v>-</v>
      </c>
      <c r="D67" s="92" t="s">
        <v>2</v>
      </c>
    </row>
    <row r="68" spans="1:4" x14ac:dyDescent="0.2">
      <c r="A68" t="s">
        <v>130</v>
      </c>
      <c r="B68" t="s">
        <v>12</v>
      </c>
      <c r="C68" s="93">
        <f>Details!D15</f>
        <v>1.8</v>
      </c>
      <c r="D68" s="93">
        <v>1.8</v>
      </c>
    </row>
    <row r="69" spans="1:4" x14ac:dyDescent="0.2">
      <c r="A69" t="s">
        <v>130</v>
      </c>
      <c r="B69" t="str">
        <f>Main!$F$11</f>
        <v>OFFSET</v>
      </c>
      <c r="C69" s="94">
        <f>Main!F13</f>
        <v>0.05</v>
      </c>
      <c r="D69" s="94">
        <f>IF(AND(Main!M13="SAIL TRACK",Main!M14="SAIL TRACK"),0%,8%)</f>
        <v>0.08</v>
      </c>
    </row>
    <row r="70" spans="1:4" x14ac:dyDescent="0.2">
      <c r="A70" t="s">
        <v>130</v>
      </c>
      <c r="B70" t="str">
        <f>Main!$F$11</f>
        <v>OFFSET</v>
      </c>
      <c r="C70" s="94">
        <f>Main!F14</f>
        <v>0.05</v>
      </c>
      <c r="D70" s="94">
        <f>IF(AND(Main!M14="SAIL TRACK",Main!M15="SAIL TRACK"),0%,8%)</f>
        <v>0.08</v>
      </c>
    </row>
    <row r="71" spans="1:4" x14ac:dyDescent="0.2">
      <c r="A71" t="s">
        <v>130</v>
      </c>
      <c r="B71" t="str">
        <f>Main!$F$11</f>
        <v>OFFSET</v>
      </c>
      <c r="C71" s="94">
        <f>Main!F15</f>
        <v>0.05</v>
      </c>
      <c r="D71" s="94">
        <f>IF(AND(Main!M15="SAIL TRACK",VLOOKUP(RIGHT(Main!C15,1),Main!$I$13:$M$20,5,FALSE)="SAIL TRACK"),0%,8%)</f>
        <v>0.08</v>
      </c>
    </row>
    <row r="72" spans="1:4" x14ac:dyDescent="0.2">
      <c r="A72" t="s">
        <v>130</v>
      </c>
      <c r="B72" t="str">
        <f>Main!$F$11</f>
        <v>OFFSET</v>
      </c>
      <c r="C72" s="94">
        <f>Main!F16</f>
        <v>0.05</v>
      </c>
      <c r="D72" s="94">
        <f>IF(AND(Main!M16="SAIL TRACK",VLOOKUP(RIGHT(Main!C16,1),Main!$I$13:$M$20,5,FALSE)="SAIL TRACK"),0%,8%)</f>
        <v>0.08</v>
      </c>
    </row>
    <row r="73" spans="1:4" x14ac:dyDescent="0.2">
      <c r="A73" t="s">
        <v>130</v>
      </c>
      <c r="B73" t="str">
        <f>Main!$F$11</f>
        <v>OFFSET</v>
      </c>
      <c r="C73" s="94">
        <f>Main!F17</f>
        <v>0.05</v>
      </c>
      <c r="D73" s="94">
        <f>IF(AND(Main!M17="SAIL TRACK",VLOOKUP(RIGHT(Main!C17,1),Main!$I$13:$M$20,5,FALSE)="SAIL TRACK"),0%,8%)</f>
        <v>0.08</v>
      </c>
    </row>
    <row r="74" spans="1:4" x14ac:dyDescent="0.2">
      <c r="A74" t="s">
        <v>130</v>
      </c>
      <c r="B74" t="str">
        <f>Main!$F$11</f>
        <v>OFFSET</v>
      </c>
      <c r="C74" s="94">
        <f>Main!F18</f>
        <v>0.05</v>
      </c>
      <c r="D74" s="94">
        <f>IF(AND(Main!M18="SAIL TRACK",VLOOKUP(RIGHT(Main!C18,1),Main!$I$13:$M$20,5,FALSE)="SAIL TRACK"),0%,8%)</f>
        <v>0.08</v>
      </c>
    </row>
    <row r="75" spans="1:4" x14ac:dyDescent="0.2">
      <c r="A75" t="s">
        <v>130</v>
      </c>
      <c r="B75" t="str">
        <f>Main!$F$11</f>
        <v>OFFSET</v>
      </c>
      <c r="C75" s="94">
        <f>Main!F19</f>
        <v>0.05</v>
      </c>
      <c r="D75" s="94">
        <f>IF(AND(Main!M19="SAIL TRACK",VLOOKUP(RIGHT(Main!C19,1),Main!$I$13:$M$20,5,FALSE)="SAIL TRACK"),0%,8%)</f>
        <v>0.08</v>
      </c>
    </row>
    <row r="76" spans="1:4" x14ac:dyDescent="0.2">
      <c r="A76" t="s">
        <v>130</v>
      </c>
      <c r="B76" t="str">
        <f>Main!$F$11</f>
        <v>OFFSET</v>
      </c>
      <c r="C76" s="94">
        <f>Main!F20</f>
        <v>0.05</v>
      </c>
      <c r="D76" s="94">
        <f>IF(AND(Main!M20="SAIL TRACK",VLOOKUP(RIGHT(Main!C20,1),Main!$I$13:$M$20,5,FALSE)="SAIL TRACK"),0%,8%)</f>
        <v>0.08</v>
      </c>
    </row>
    <row r="77" spans="1:4" x14ac:dyDescent="0.2">
      <c r="A77" t="s">
        <v>130</v>
      </c>
      <c r="B77" t="str">
        <f>Main!$H$11</f>
        <v>Exit Point</v>
      </c>
      <c r="C77" t="str">
        <f>Main!H13</f>
        <v>-</v>
      </c>
      <c r="D77" t="s">
        <v>2</v>
      </c>
    </row>
    <row r="78" spans="1:4" x14ac:dyDescent="0.2">
      <c r="A78" t="s">
        <v>130</v>
      </c>
      <c r="B78" t="str">
        <f>Main!$H$11</f>
        <v>Exit Point</v>
      </c>
      <c r="C78" t="str">
        <f>Main!H14</f>
        <v>-</v>
      </c>
      <c r="D78" t="s">
        <v>2</v>
      </c>
    </row>
    <row r="79" spans="1:4" x14ac:dyDescent="0.2">
      <c r="A79" t="s">
        <v>130</v>
      </c>
      <c r="B79" t="str">
        <f>Main!$H$11</f>
        <v>Exit Point</v>
      </c>
      <c r="C79" t="str">
        <f>Main!H15</f>
        <v>-</v>
      </c>
      <c r="D79" t="s">
        <v>2</v>
      </c>
    </row>
    <row r="80" spans="1:4" x14ac:dyDescent="0.2">
      <c r="A80" t="s">
        <v>130</v>
      </c>
      <c r="B80" t="str">
        <f>Main!$H$11</f>
        <v>Exit Point</v>
      </c>
      <c r="C80" t="str">
        <f>Main!H16</f>
        <v>-</v>
      </c>
      <c r="D80" t="s">
        <v>2</v>
      </c>
    </row>
    <row r="81" spans="1:4" x14ac:dyDescent="0.2">
      <c r="A81" t="s">
        <v>130</v>
      </c>
      <c r="B81" t="str">
        <f>Main!$H$11</f>
        <v>Exit Point</v>
      </c>
      <c r="C81">
        <f>Main!H17</f>
        <v>0</v>
      </c>
      <c r="D81" t="s">
        <v>2</v>
      </c>
    </row>
    <row r="82" spans="1:4" x14ac:dyDescent="0.2">
      <c r="A82" t="s">
        <v>130</v>
      </c>
      <c r="B82" t="str">
        <f>Main!$H$11</f>
        <v>Exit Point</v>
      </c>
      <c r="C82" t="str">
        <f>Main!H18</f>
        <v>-</v>
      </c>
      <c r="D82" t="s">
        <v>2</v>
      </c>
    </row>
    <row r="83" spans="1:4" x14ac:dyDescent="0.2">
      <c r="A83" t="s">
        <v>130</v>
      </c>
      <c r="B83" t="str">
        <f>Main!$H$11</f>
        <v>Exit Point</v>
      </c>
      <c r="C83" t="str">
        <f>Main!H19</f>
        <v>-</v>
      </c>
      <c r="D83" t="s">
        <v>2</v>
      </c>
    </row>
    <row r="84" spans="1:4" x14ac:dyDescent="0.2">
      <c r="A84" t="s">
        <v>130</v>
      </c>
      <c r="B84" t="str">
        <f>Main!$H$11</f>
        <v>Exit Point</v>
      </c>
      <c r="C84" t="str">
        <f>Main!H20</f>
        <v>-</v>
      </c>
      <c r="D84" t="s">
        <v>2</v>
      </c>
    </row>
    <row r="85" spans="1:4" x14ac:dyDescent="0.2">
      <c r="A85" t="s">
        <v>130</v>
      </c>
      <c r="B85" t="str">
        <f>Main!$L$11</f>
        <v>FIXED TO</v>
      </c>
      <c r="C85">
        <f>Main!L13</f>
        <v>0</v>
      </c>
      <c r="D85" t="s">
        <v>2</v>
      </c>
    </row>
    <row r="86" spans="1:4" x14ac:dyDescent="0.2">
      <c r="A86" t="s">
        <v>130</v>
      </c>
      <c r="B86" t="str">
        <f>Main!$L$11</f>
        <v>FIXED TO</v>
      </c>
      <c r="C86">
        <f>Main!L14</f>
        <v>0</v>
      </c>
      <c r="D86" t="s">
        <v>2</v>
      </c>
    </row>
    <row r="87" spans="1:4" x14ac:dyDescent="0.2">
      <c r="A87" t="s">
        <v>130</v>
      </c>
      <c r="B87" t="str">
        <f>Main!$L$11</f>
        <v>FIXED TO</v>
      </c>
      <c r="C87">
        <f>Main!L15</f>
        <v>0</v>
      </c>
      <c r="D87" t="s">
        <v>2</v>
      </c>
    </row>
    <row r="88" spans="1:4" x14ac:dyDescent="0.2">
      <c r="A88" t="s">
        <v>130</v>
      </c>
      <c r="B88" t="str">
        <f>Main!$L$11</f>
        <v>FIXED TO</v>
      </c>
      <c r="C88">
        <f>Main!L16</f>
        <v>0</v>
      </c>
      <c r="D88" t="s">
        <v>2</v>
      </c>
    </row>
    <row r="89" spans="1:4" x14ac:dyDescent="0.2">
      <c r="A89" t="s">
        <v>130</v>
      </c>
      <c r="B89" t="str">
        <f>Main!$L$11</f>
        <v>FIXED TO</v>
      </c>
      <c r="C89">
        <f>Main!L17</f>
        <v>0</v>
      </c>
      <c r="D89" t="s">
        <v>2</v>
      </c>
    </row>
    <row r="90" spans="1:4" x14ac:dyDescent="0.2">
      <c r="A90" t="s">
        <v>130</v>
      </c>
      <c r="B90" t="str">
        <f>Main!$L$11</f>
        <v>FIXED TO</v>
      </c>
      <c r="C90" t="str">
        <f>Main!L18</f>
        <v>-</v>
      </c>
      <c r="D90" t="s">
        <v>2</v>
      </c>
    </row>
    <row r="91" spans="1:4" x14ac:dyDescent="0.2">
      <c r="A91" t="s">
        <v>130</v>
      </c>
      <c r="B91" t="str">
        <f>Main!$L$11</f>
        <v>FIXED TO</v>
      </c>
      <c r="C91" t="str">
        <f>Main!L19</f>
        <v>-</v>
      </c>
      <c r="D91" t="s">
        <v>2</v>
      </c>
    </row>
    <row r="92" spans="1:4" x14ac:dyDescent="0.2">
      <c r="A92" t="s">
        <v>130</v>
      </c>
      <c r="B92" t="str">
        <f>Main!$L$11</f>
        <v>FIXED TO</v>
      </c>
      <c r="C92" t="str">
        <f>Main!L20</f>
        <v>-</v>
      </c>
      <c r="D92" t="s">
        <v>2</v>
      </c>
    </row>
    <row r="93" spans="1:4" x14ac:dyDescent="0.2">
      <c r="A93" t="s">
        <v>130</v>
      </c>
      <c r="B93" t="str">
        <f>Main!$M$11</f>
        <v>FIXING</v>
      </c>
      <c r="C93">
        <f>Main!M13</f>
        <v>0</v>
      </c>
      <c r="D93" t="s">
        <v>2</v>
      </c>
    </row>
    <row r="94" spans="1:4" x14ac:dyDescent="0.2">
      <c r="A94" t="s">
        <v>130</v>
      </c>
      <c r="B94" t="str">
        <f>Main!$M$11</f>
        <v>FIXING</v>
      </c>
      <c r="C94">
        <f>Main!M14</f>
        <v>0</v>
      </c>
      <c r="D94" t="s">
        <v>2</v>
      </c>
    </row>
    <row r="95" spans="1:4" x14ac:dyDescent="0.2">
      <c r="A95" t="s">
        <v>130</v>
      </c>
      <c r="B95" t="str">
        <f>Main!$M$11</f>
        <v>FIXING</v>
      </c>
      <c r="C95">
        <f>Main!M15</f>
        <v>0</v>
      </c>
      <c r="D95" t="s">
        <v>2</v>
      </c>
    </row>
    <row r="96" spans="1:4" x14ac:dyDescent="0.2">
      <c r="A96" t="s">
        <v>130</v>
      </c>
      <c r="B96" t="str">
        <f>Main!$M$11</f>
        <v>FIXING</v>
      </c>
      <c r="C96">
        <f>Main!M16</f>
        <v>0</v>
      </c>
      <c r="D96" t="s">
        <v>2</v>
      </c>
    </row>
    <row r="97" spans="1:4" x14ac:dyDescent="0.2">
      <c r="A97" t="s">
        <v>130</v>
      </c>
      <c r="B97" t="str">
        <f>Main!$M$11</f>
        <v>FIXING</v>
      </c>
      <c r="C97">
        <f>Main!M17</f>
        <v>0</v>
      </c>
      <c r="D97" t="s">
        <v>2</v>
      </c>
    </row>
    <row r="98" spans="1:4" x14ac:dyDescent="0.2">
      <c r="A98" t="s">
        <v>130</v>
      </c>
      <c r="B98" t="str">
        <f>Main!$M$11</f>
        <v>FIXING</v>
      </c>
      <c r="C98" t="str">
        <f>Main!M18</f>
        <v>-</v>
      </c>
      <c r="D98" t="s">
        <v>2</v>
      </c>
    </row>
    <row r="99" spans="1:4" x14ac:dyDescent="0.2">
      <c r="A99" t="s">
        <v>130</v>
      </c>
      <c r="B99" t="str">
        <f>Main!$M$11</f>
        <v>FIXING</v>
      </c>
      <c r="C99" t="str">
        <f>Main!M19</f>
        <v>-</v>
      </c>
      <c r="D99" t="s">
        <v>2</v>
      </c>
    </row>
    <row r="100" spans="1:4" x14ac:dyDescent="0.2">
      <c r="A100" t="s">
        <v>130</v>
      </c>
      <c r="B100" t="str">
        <f>Main!$M$11</f>
        <v>FIXING</v>
      </c>
      <c r="C100" t="str">
        <f>Main!M20</f>
        <v>-</v>
      </c>
      <c r="D100" t="s">
        <v>2</v>
      </c>
    </row>
    <row r="101" spans="1:4" x14ac:dyDescent="0.2">
      <c r="A101" t="s">
        <v>130</v>
      </c>
      <c r="B101" t="str">
        <f>Main!$N$10</f>
        <v>TAKE OFF LENGTH</v>
      </c>
      <c r="C101" s="92" t="e">
        <f>Main!N13</f>
        <v>#N/A</v>
      </c>
      <c r="D101" s="92" t="e">
        <f>VLOOKUP(Main!M13,Main!$P$13:$Q$18,2,FALSE)</f>
        <v>#N/A</v>
      </c>
    </row>
    <row r="102" spans="1:4" x14ac:dyDescent="0.2">
      <c r="A102" t="s">
        <v>130</v>
      </c>
      <c r="B102" t="str">
        <f>Main!$N$10</f>
        <v>TAKE OFF LENGTH</v>
      </c>
      <c r="C102" s="92" t="e">
        <f>Main!N14</f>
        <v>#N/A</v>
      </c>
      <c r="D102" s="92" t="e">
        <f>VLOOKUP(Main!M14,Main!$P$13:$Q$18,2,FALSE)</f>
        <v>#N/A</v>
      </c>
    </row>
    <row r="103" spans="1:4" x14ac:dyDescent="0.2">
      <c r="A103" t="s">
        <v>130</v>
      </c>
      <c r="B103" t="str">
        <f>Main!$N$10</f>
        <v>TAKE OFF LENGTH</v>
      </c>
      <c r="C103" s="92" t="e">
        <f>Main!N15</f>
        <v>#N/A</v>
      </c>
      <c r="D103" s="92" t="e">
        <f>VLOOKUP(Main!M15,Main!$P$13:$Q$18,2,FALSE)</f>
        <v>#N/A</v>
      </c>
    </row>
    <row r="104" spans="1:4" x14ac:dyDescent="0.2">
      <c r="A104" t="s">
        <v>130</v>
      </c>
      <c r="B104" t="str">
        <f>Main!$N$10</f>
        <v>TAKE OFF LENGTH</v>
      </c>
      <c r="C104" s="92" t="e">
        <f>Main!N16</f>
        <v>#N/A</v>
      </c>
      <c r="D104" s="92" t="e">
        <f>VLOOKUP(Main!M16,Main!$P$13:$Q$18,2,FALSE)</f>
        <v>#N/A</v>
      </c>
    </row>
    <row r="105" spans="1:4" x14ac:dyDescent="0.2">
      <c r="A105" t="s">
        <v>130</v>
      </c>
      <c r="B105" t="str">
        <f>Main!$N$10</f>
        <v>TAKE OFF LENGTH</v>
      </c>
      <c r="C105" s="92" t="e">
        <f>Main!N17</f>
        <v>#N/A</v>
      </c>
      <c r="D105" s="92" t="e">
        <f>VLOOKUP(Main!M17,Main!$P$13:$Q$18,2,FALSE)</f>
        <v>#N/A</v>
      </c>
    </row>
    <row r="106" spans="1:4" x14ac:dyDescent="0.2">
      <c r="A106" t="s">
        <v>130</v>
      </c>
      <c r="B106" t="str">
        <f>Main!$N$10</f>
        <v>TAKE OFF LENGTH</v>
      </c>
      <c r="C106" s="92" t="e">
        <f>Main!N18</f>
        <v>#N/A</v>
      </c>
      <c r="D106" s="92" t="e">
        <f>VLOOKUP(Main!M18,Main!$P$13:$Q$18,2,FALSE)</f>
        <v>#N/A</v>
      </c>
    </row>
    <row r="107" spans="1:4" x14ac:dyDescent="0.2">
      <c r="A107" t="s">
        <v>130</v>
      </c>
      <c r="B107" t="str">
        <f>Main!$N$10</f>
        <v>TAKE OFF LENGTH</v>
      </c>
      <c r="C107" s="92" t="e">
        <f>Main!N19</f>
        <v>#N/A</v>
      </c>
      <c r="D107" s="92" t="e">
        <f>VLOOKUP(Main!M19,Main!$P$13:$Q$18,2,FALSE)</f>
        <v>#N/A</v>
      </c>
    </row>
    <row r="108" spans="1:4" x14ac:dyDescent="0.2">
      <c r="A108" t="s">
        <v>130</v>
      </c>
      <c r="B108" t="str">
        <f>Main!$N$10</f>
        <v>TAKE OFF LENGTH</v>
      </c>
      <c r="C108" s="92" t="e">
        <f>Main!N20</f>
        <v>#N/A</v>
      </c>
      <c r="D108" s="92" t="e">
        <f>VLOOKUP(Main!M20,Main!$P$13:$Q$18,2,FALSE)</f>
        <v>#N/A</v>
      </c>
    </row>
    <row r="109" spans="1:4" x14ac:dyDescent="0.2">
      <c r="A109" t="s">
        <v>130</v>
      </c>
      <c r="B109" t="str">
        <f>Main!$O$10</f>
        <v>REVERSE CURVE</v>
      </c>
      <c r="C109" t="str">
        <f>Main!O13</f>
        <v>-</v>
      </c>
      <c r="D109" t="s">
        <v>2</v>
      </c>
    </row>
    <row r="110" spans="1:4" x14ac:dyDescent="0.2">
      <c r="A110" t="s">
        <v>130</v>
      </c>
      <c r="B110" t="str">
        <f>Main!$O$10</f>
        <v>REVERSE CURVE</v>
      </c>
      <c r="C110" t="str">
        <f>Main!O14</f>
        <v>-</v>
      </c>
      <c r="D110" t="s">
        <v>2</v>
      </c>
    </row>
    <row r="111" spans="1:4" x14ac:dyDescent="0.2">
      <c r="A111" t="s">
        <v>130</v>
      </c>
      <c r="B111" t="str">
        <f>Main!$O$10</f>
        <v>REVERSE CURVE</v>
      </c>
      <c r="C111" t="str">
        <f>Main!O15</f>
        <v>-</v>
      </c>
      <c r="D111" t="s">
        <v>2</v>
      </c>
    </row>
    <row r="112" spans="1:4" x14ac:dyDescent="0.2">
      <c r="A112" t="s">
        <v>130</v>
      </c>
      <c r="B112" t="str">
        <f>Main!$O$10</f>
        <v>REVERSE CURVE</v>
      </c>
      <c r="C112" t="str">
        <f>Main!O16</f>
        <v>-</v>
      </c>
      <c r="D112" t="s">
        <v>2</v>
      </c>
    </row>
    <row r="113" spans="1:4" x14ac:dyDescent="0.2">
      <c r="A113" t="s">
        <v>130</v>
      </c>
      <c r="B113" t="str">
        <f>Main!$O$10</f>
        <v>REVERSE CURVE</v>
      </c>
      <c r="C113" t="str">
        <f>Main!O17</f>
        <v>-</v>
      </c>
      <c r="D113" t="s">
        <v>2</v>
      </c>
    </row>
    <row r="114" spans="1:4" x14ac:dyDescent="0.2">
      <c r="A114" t="s">
        <v>130</v>
      </c>
      <c r="B114" t="str">
        <f>Main!$O$10</f>
        <v>REVERSE CURVE</v>
      </c>
      <c r="C114" t="str">
        <f>Main!O18</f>
        <v>-</v>
      </c>
      <c r="D114" t="s">
        <v>2</v>
      </c>
    </row>
    <row r="115" spans="1:4" x14ac:dyDescent="0.2">
      <c r="A115" t="s">
        <v>130</v>
      </c>
      <c r="B115" t="str">
        <f>Main!$O$10</f>
        <v>REVERSE CURVE</v>
      </c>
      <c r="C115" t="str">
        <f>Main!O19</f>
        <v>-</v>
      </c>
      <c r="D115" t="s">
        <v>2</v>
      </c>
    </row>
    <row r="116" spans="1:4" x14ac:dyDescent="0.2">
      <c r="A116" t="s">
        <v>130</v>
      </c>
      <c r="B116" t="str">
        <f>Main!$O$10</f>
        <v>REVERSE CURVE</v>
      </c>
      <c r="C116" t="str">
        <f>Main!O20</f>
        <v>-</v>
      </c>
      <c r="D116" t="s">
        <v>2</v>
      </c>
    </row>
  </sheetData>
  <sheetProtection sheet="1" objects="1" scenario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D226"/>
  <sheetViews>
    <sheetView topLeftCell="A10" zoomScale="125" zoomScaleNormal="125" zoomScalePageLayoutView="125" workbookViewId="0">
      <selection activeCell="F5" sqref="F5:L5"/>
    </sheetView>
  </sheetViews>
  <sheetFormatPr defaultColWidth="8.85546875" defaultRowHeight="12.75" x14ac:dyDescent="0.2"/>
  <cols>
    <col min="1" max="1" width="2.140625" customWidth="1"/>
    <col min="2" max="2" width="0" hidden="1" customWidth="1"/>
    <col min="3" max="3" width="6.42578125" customWidth="1"/>
    <col min="4" max="4" width="13.28515625" customWidth="1"/>
    <col min="5" max="5" width="8.85546875" customWidth="1"/>
    <col min="6" max="6" width="9.85546875" customWidth="1"/>
    <col min="7" max="7" width="8.42578125" customWidth="1"/>
    <col min="8" max="9" width="8.28515625" customWidth="1"/>
    <col min="10" max="10" width="2.85546875" customWidth="1"/>
    <col min="11" max="11" width="12" customWidth="1"/>
    <col min="12" max="12" width="19.140625" customWidth="1"/>
    <col min="13" max="13" width="12.42578125" customWidth="1"/>
    <col min="14" max="14" width="3.140625" customWidth="1"/>
    <col min="15" max="15" width="5.42578125" customWidth="1"/>
    <col min="16" max="16" width="129.7109375" customWidth="1"/>
    <col min="17" max="47" width="10.7109375" style="1" customWidth="1"/>
    <col min="48" max="129" width="10.7109375" customWidth="1"/>
    <col min="130" max="132" width="9.7109375" style="95" customWidth="1"/>
  </cols>
  <sheetData>
    <row r="1" spans="1:134" x14ac:dyDescent="0.2">
      <c r="A1" s="1"/>
      <c r="B1" s="1"/>
      <c r="C1" s="1"/>
      <c r="D1" s="1"/>
      <c r="E1" s="1"/>
      <c r="F1" s="1"/>
      <c r="G1" s="1"/>
      <c r="H1" s="1"/>
      <c r="I1" s="1"/>
      <c r="J1" s="1"/>
      <c r="K1" s="1"/>
      <c r="L1" s="1"/>
      <c r="M1" s="1"/>
      <c r="N1" s="1"/>
      <c r="O1" s="1"/>
      <c r="P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96"/>
      <c r="EA1" s="96"/>
      <c r="EB1" s="96"/>
      <c r="EC1" s="1"/>
      <c r="ED1" s="1"/>
    </row>
    <row r="2" spans="1:134" x14ac:dyDescent="0.2">
      <c r="A2" s="1"/>
      <c r="B2" s="1"/>
      <c r="C2" s="97"/>
      <c r="D2" s="1"/>
      <c r="E2" s="1"/>
      <c r="F2" s="1"/>
      <c r="G2" s="1"/>
      <c r="H2" s="1"/>
      <c r="I2" s="1"/>
      <c r="J2" s="1"/>
      <c r="K2" s="1"/>
      <c r="L2" s="1"/>
      <c r="M2" s="1"/>
      <c r="N2" s="1"/>
      <c r="O2" s="1"/>
      <c r="P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96"/>
      <c r="EA2" s="96"/>
      <c r="EB2" s="96"/>
      <c r="EC2" s="1"/>
      <c r="ED2" s="1"/>
    </row>
    <row r="3" spans="1:134" ht="18" x14ac:dyDescent="0.25">
      <c r="A3" s="1"/>
      <c r="B3" s="1"/>
      <c r="C3" s="206" t="s">
        <v>132</v>
      </c>
      <c r="D3" s="206"/>
      <c r="E3" s="25"/>
      <c r="F3" s="316" t="s">
        <v>133</v>
      </c>
      <c r="G3" s="316"/>
      <c r="H3" s="316"/>
      <c r="I3" s="316"/>
      <c r="J3" s="316"/>
      <c r="K3" s="316"/>
      <c r="L3" s="316"/>
      <c r="M3" s="98"/>
      <c r="N3" s="99"/>
      <c r="O3" s="99"/>
      <c r="P3" s="99"/>
      <c r="Q3" s="100"/>
      <c r="R3" s="100"/>
      <c r="S3" s="100"/>
      <c r="T3" s="100"/>
      <c r="U3" s="100"/>
      <c r="V3" s="100"/>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96"/>
      <c r="EA3" s="96"/>
      <c r="EB3" s="96"/>
      <c r="EC3" s="1"/>
      <c r="ED3" s="1"/>
    </row>
    <row r="4" spans="1:134" ht="18" x14ac:dyDescent="0.25">
      <c r="A4" s="1"/>
      <c r="B4" s="1"/>
      <c r="C4" s="206" t="s">
        <v>29</v>
      </c>
      <c r="D4" s="206"/>
      <c r="E4" s="25"/>
      <c r="F4" s="316" t="s">
        <v>134</v>
      </c>
      <c r="G4" s="316"/>
      <c r="H4" s="316"/>
      <c r="I4" s="316"/>
      <c r="J4" s="316"/>
      <c r="K4" s="316"/>
      <c r="L4" s="316"/>
      <c r="M4" s="98"/>
      <c r="N4" s="99"/>
      <c r="O4" s="99"/>
      <c r="P4" s="99"/>
      <c r="Q4" s="100"/>
      <c r="R4" s="100"/>
      <c r="S4" s="100"/>
      <c r="T4" s="100"/>
      <c r="U4" s="100"/>
      <c r="V4" s="100"/>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96"/>
      <c r="EA4" s="96"/>
      <c r="EB4" s="96"/>
      <c r="EC4" s="1"/>
      <c r="ED4" s="1"/>
    </row>
    <row r="5" spans="1:134" ht="18" x14ac:dyDescent="0.25">
      <c r="A5" s="1"/>
      <c r="B5" s="1"/>
      <c r="C5" s="206" t="s">
        <v>34</v>
      </c>
      <c r="D5" s="206"/>
      <c r="E5" s="25"/>
      <c r="F5" s="316" t="str">
        <f>Print!F6</f>
        <v>Z 16</v>
      </c>
      <c r="G5" s="316"/>
      <c r="H5" s="316"/>
      <c r="I5" s="316"/>
      <c r="J5" s="316"/>
      <c r="K5" s="316"/>
      <c r="L5" s="316"/>
      <c r="M5" s="98"/>
      <c r="N5" s="99"/>
      <c r="O5" s="99"/>
      <c r="P5" s="99"/>
      <c r="Q5" s="100"/>
      <c r="R5" s="100"/>
      <c r="S5" s="100"/>
      <c r="T5" s="100"/>
      <c r="U5" s="100"/>
      <c r="V5" s="100"/>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96"/>
      <c r="EA5" s="96"/>
      <c r="EB5" s="96"/>
      <c r="EC5" s="1"/>
      <c r="ED5" s="1"/>
    </row>
    <row r="6" spans="1:134" x14ac:dyDescent="0.2">
      <c r="A6" s="1"/>
      <c r="B6" s="1"/>
      <c r="C6" s="1"/>
      <c r="D6" s="1"/>
      <c r="E6" s="1"/>
      <c r="F6" s="1"/>
      <c r="G6" s="1"/>
      <c r="H6" s="1"/>
      <c r="I6" s="1"/>
      <c r="J6" s="1"/>
      <c r="K6" s="1"/>
      <c r="L6" s="1"/>
      <c r="M6" s="1"/>
      <c r="N6" s="1"/>
      <c r="O6" s="1"/>
      <c r="P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96"/>
      <c r="EA6" s="96"/>
      <c r="EB6" s="96"/>
      <c r="EC6" s="1"/>
      <c r="ED6" s="1"/>
    </row>
    <row r="7" spans="1:134" ht="15.75" x14ac:dyDescent="0.25">
      <c r="A7" s="1"/>
      <c r="B7" s="1"/>
      <c r="C7" s="312" t="s">
        <v>135</v>
      </c>
      <c r="D7" s="312"/>
      <c r="E7" s="312"/>
      <c r="F7" s="312"/>
      <c r="G7" s="101">
        <f>Print!G9</f>
        <v>6</v>
      </c>
      <c r="H7" s="1"/>
      <c r="I7" s="1"/>
      <c r="J7" s="1"/>
      <c r="K7" s="1"/>
      <c r="L7" s="1"/>
      <c r="M7" s="1"/>
      <c r="N7" s="1"/>
      <c r="O7" s="1"/>
      <c r="P7" s="1"/>
      <c r="AT7" s="1">
        <f>IF(G7=3,(Z12*Z12),(AT8*AT8))</f>
        <v>64320400</v>
      </c>
      <c r="AV7" s="1"/>
      <c r="AW7" s="51">
        <v>0</v>
      </c>
      <c r="AX7" s="1">
        <v>0</v>
      </c>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96"/>
      <c r="EA7" s="96"/>
      <c r="EB7" s="96"/>
      <c r="EC7" s="1"/>
      <c r="ED7" s="1"/>
    </row>
    <row r="8" spans="1:134" x14ac:dyDescent="0.2">
      <c r="A8" s="1"/>
      <c r="B8" s="1"/>
      <c r="C8" s="1"/>
      <c r="D8" s="1"/>
      <c r="E8" s="1"/>
      <c r="F8" s="1"/>
      <c r="G8" s="1"/>
      <c r="H8" s="1"/>
      <c r="I8" s="1"/>
      <c r="J8" s="1"/>
      <c r="K8" s="1"/>
      <c r="L8" s="1"/>
      <c r="M8" s="1"/>
      <c r="N8" s="1"/>
      <c r="O8" s="1"/>
      <c r="P8" s="1"/>
      <c r="AT8" s="1">
        <f>VLOOKUP(CONCATENATE("B-",HLOOKUP("A",H11:H18,G7,FALSE)),C25:Y44,23,FALSE)</f>
        <v>8020</v>
      </c>
      <c r="AV8" s="1"/>
      <c r="AW8" s="52">
        <v>0.04</v>
      </c>
      <c r="AX8" s="1">
        <v>3.145</v>
      </c>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96"/>
      <c r="EA8" s="96"/>
      <c r="EB8" s="96"/>
      <c r="EC8" s="1"/>
      <c r="ED8" s="1"/>
    </row>
    <row r="9" spans="1:134" x14ac:dyDescent="0.2">
      <c r="A9" s="1"/>
      <c r="B9" s="1"/>
      <c r="C9" s="266" t="s">
        <v>136</v>
      </c>
      <c r="D9" s="266"/>
      <c r="E9" s="1"/>
      <c r="F9" s="74" t="s">
        <v>137</v>
      </c>
      <c r="G9" s="75" t="s">
        <v>49</v>
      </c>
      <c r="H9" s="313" t="s">
        <v>41</v>
      </c>
      <c r="I9" s="313"/>
      <c r="J9" s="1"/>
      <c r="K9" s="75" t="s">
        <v>138</v>
      </c>
      <c r="L9" s="75" t="s">
        <v>139</v>
      </c>
      <c r="M9" s="84" t="s">
        <v>140</v>
      </c>
      <c r="N9" s="1"/>
      <c r="O9" s="1" t="s">
        <v>51</v>
      </c>
      <c r="P9" s="1"/>
      <c r="Z9" s="74" t="s">
        <v>141</v>
      </c>
      <c r="AB9" s="102" t="s">
        <v>142</v>
      </c>
      <c r="AI9" s="1" t="s">
        <v>143</v>
      </c>
      <c r="AJ9" s="1" t="s">
        <v>144</v>
      </c>
      <c r="AK9" s="1" t="s">
        <v>145</v>
      </c>
      <c r="AL9" s="1" t="s">
        <v>146</v>
      </c>
      <c r="AO9" s="1" t="s">
        <v>147</v>
      </c>
      <c r="AP9" s="1" t="s">
        <v>148</v>
      </c>
      <c r="AV9" s="1"/>
      <c r="AW9" s="52">
        <v>0.05</v>
      </c>
      <c r="AX9" s="1">
        <v>2.5249999999999999</v>
      </c>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96"/>
      <c r="EA9" s="96"/>
      <c r="EB9" s="96"/>
      <c r="EC9" s="1"/>
      <c r="ED9" s="1"/>
    </row>
    <row r="10" spans="1:134" x14ac:dyDescent="0.2">
      <c r="A10" s="1"/>
      <c r="B10" s="1"/>
      <c r="C10" s="1"/>
      <c r="D10" s="1"/>
      <c r="E10" s="1"/>
      <c r="F10" s="1"/>
      <c r="G10" s="1"/>
      <c r="H10" s="1"/>
      <c r="I10" s="1"/>
      <c r="J10" s="1"/>
      <c r="K10" s="1"/>
      <c r="L10" s="1"/>
      <c r="M10" s="1"/>
      <c r="N10" s="1"/>
      <c r="O10" s="1"/>
      <c r="P10" s="1"/>
      <c r="Q10" s="1" t="s">
        <v>149</v>
      </c>
      <c r="R10" s="1" t="s">
        <v>150</v>
      </c>
      <c r="S10" s="1" t="s">
        <v>151</v>
      </c>
      <c r="T10" s="1" t="s">
        <v>152</v>
      </c>
      <c r="U10" s="1" t="s">
        <v>153</v>
      </c>
      <c r="V10" s="1" t="s">
        <v>154</v>
      </c>
      <c r="W10" s="1" t="s">
        <v>155</v>
      </c>
      <c r="X10" s="1" t="s">
        <v>156</v>
      </c>
      <c r="AE10" s="1" t="s">
        <v>157</v>
      </c>
      <c r="AG10" s="1">
        <v>0</v>
      </c>
      <c r="AH10" s="1">
        <v>0</v>
      </c>
      <c r="AM10" s="1">
        <v>0</v>
      </c>
      <c r="AN10" s="1">
        <v>0</v>
      </c>
      <c r="AO10" s="1">
        <v>0</v>
      </c>
      <c r="AP10" s="1">
        <v>0</v>
      </c>
      <c r="AR10" s="1">
        <f>(G7-2)*180</f>
        <v>720</v>
      </c>
      <c r="AV10" s="1"/>
      <c r="AW10" s="52">
        <v>0.06</v>
      </c>
      <c r="AX10" s="1">
        <v>2.1135000000000002</v>
      </c>
      <c r="AY10" s="1"/>
      <c r="AZ10" s="1" t="s">
        <v>158</v>
      </c>
      <c r="BA10" s="1" t="s">
        <v>159</v>
      </c>
      <c r="BB10" s="1" t="s">
        <v>40</v>
      </c>
      <c r="BC10" s="1" t="s">
        <v>160</v>
      </c>
      <c r="BD10" s="1" t="s">
        <v>161</v>
      </c>
      <c r="BE10" s="1" t="s">
        <v>157</v>
      </c>
      <c r="BF10" s="1"/>
      <c r="BG10" s="1" t="s">
        <v>162</v>
      </c>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96"/>
      <c r="EA10" s="96"/>
      <c r="EB10" s="96"/>
      <c r="EC10" s="1"/>
      <c r="ED10" s="1"/>
    </row>
    <row r="11" spans="1:134" ht="18" x14ac:dyDescent="0.25">
      <c r="A11" s="1"/>
      <c r="B11" s="1"/>
      <c r="C11" s="77" t="s">
        <v>163</v>
      </c>
      <c r="D11" s="103">
        <f>Print!D14</f>
        <v>4370</v>
      </c>
      <c r="E11" s="104">
        <f>Print!E14</f>
        <v>0</v>
      </c>
      <c r="F11" s="105">
        <f>Print!G14</f>
        <v>0.05</v>
      </c>
      <c r="G11" s="106" t="str">
        <f>Print!I14</f>
        <v>-</v>
      </c>
      <c r="H11" s="79" t="s">
        <v>149</v>
      </c>
      <c r="I11" s="103">
        <f>Print!L14</f>
        <v>0</v>
      </c>
      <c r="J11" s="107"/>
      <c r="K11" s="108">
        <f>Print!M14</f>
        <v>0</v>
      </c>
      <c r="L11" s="108">
        <f>Print!N14</f>
        <v>0</v>
      </c>
      <c r="M11" s="109" t="e">
        <f>Print!O14</f>
        <v>#N/A</v>
      </c>
      <c r="N11" s="1"/>
      <c r="O11" s="1">
        <f>IF(LEFT(Print!P14,3)="180",180,0)</f>
        <v>0</v>
      </c>
      <c r="P11" s="1"/>
      <c r="Q11" s="1" t="str">
        <f t="shared" ref="Q11:Q18" si="0">IF(OR(LEFT(C11,1)="A",RIGHT(C11,1)="A"),"A","")</f>
        <v>A</v>
      </c>
      <c r="R11" s="1" t="str">
        <f t="shared" ref="R11:R18" si="1">IF(OR(LEFT(C11,1)="B",RIGHT(C11,1)="B"),"B","")</f>
        <v>B</v>
      </c>
      <c r="S11" s="1" t="str">
        <f t="shared" ref="S11:S18" si="2">IF(OR(LEFT(C11,1)="C",RIGHT(C11,1)="C"),"C","")</f>
        <v/>
      </c>
      <c r="T11" s="1" t="str">
        <f t="shared" ref="T11:T18" si="3">IF(OR(LEFT(C11,1)="D",RIGHT(C11,1)="D"),"D","")</f>
        <v/>
      </c>
      <c r="U11" s="1" t="str">
        <f t="shared" ref="U11:U18" si="4">IF(OR(LEFT(C11,1)="E",RIGHT(C11,1)="E"),"E","")</f>
        <v/>
      </c>
      <c r="V11" s="1" t="str">
        <f t="shared" ref="V11:V18" si="5">IF(OR(LEFT(C11,1)="F",RIGHT(C11,1)="F"),"F","")</f>
        <v/>
      </c>
      <c r="W11" s="1" t="str">
        <f t="shared" ref="W11:W18" si="6">IF(OR(LEFT(C11,1)="G",RIGHT(C11,1)="G"),"G","")</f>
        <v/>
      </c>
      <c r="X11" s="1" t="str">
        <f t="shared" ref="X11:X18" si="7">IF(OR(LEFT(C11,1)="H",RIGHT(C11,1)="H"),"H","")</f>
        <v/>
      </c>
      <c r="Z11" s="110">
        <f t="shared" ref="Z11:Z18" si="8">SQRT((D11*D11)-(AB11*AB11))</f>
        <v>4370</v>
      </c>
      <c r="AB11" s="1">
        <f>I11-I12</f>
        <v>0</v>
      </c>
      <c r="AD11" s="1" t="s">
        <v>149</v>
      </c>
      <c r="AE11" s="1">
        <f>IF(O11=180,PI(),IF(Main!O13="R",PI()-ACOS(((VLOOKUP("A",Q12:Z18,10,FALSE)*VLOOKUP("A",Q12:Z18,10,FALSE))+(Z11*Z11)-AT7)/(2*Z11*VLOOKUP("A",Q12:Z18,10,FALSE)))+PI(),ACOS(((VLOOKUP("A",Q12:Z18,10,FALSE)*VLOOKUP("A",Q12:Z18,10,FALSE))+(Z11*Z11)-AT7)/(2*Z11*VLOOKUP("A",Q12:Z18,10,FALSE)))))</f>
        <v>1.4059689007683367</v>
      </c>
      <c r="AF11" s="1">
        <f t="shared" ref="AF11:AF18" si="9">AE11*180/PI()</f>
        <v>80.556084140673335</v>
      </c>
      <c r="AG11" s="110">
        <f>Z11</f>
        <v>4370</v>
      </c>
      <c r="AH11" s="1">
        <f>0</f>
        <v>0</v>
      </c>
      <c r="AI11" s="1">
        <f>IF(ISERROR(AK11*COS(AL11)),0,AK11*COS(AL11))</f>
        <v>0</v>
      </c>
      <c r="AJ11" s="1">
        <f t="shared" ref="AJ11:AJ18" si="10">IF(ISERROR(AK11*SIN(AL11)),0,AK11*SIN(AL11))</f>
        <v>0</v>
      </c>
      <c r="AK11" s="1" t="e">
        <f>M11</f>
        <v>#N/A</v>
      </c>
      <c r="AL11" s="1">
        <f>2*PI()-AE11/2</f>
        <v>5.5802008567954182</v>
      </c>
      <c r="AM11" s="1">
        <f>AI11</f>
        <v>0</v>
      </c>
      <c r="AN11" s="1">
        <f>AJ11</f>
        <v>0</v>
      </c>
      <c r="AO11" s="1">
        <f>AG10+AI11</f>
        <v>0</v>
      </c>
      <c r="AP11" s="1">
        <f>(AH10+AJ11)</f>
        <v>0</v>
      </c>
      <c r="AQ11" s="1">
        <f>AL11*180/PI()</f>
        <v>319.72195792966335</v>
      </c>
      <c r="AR11" s="1">
        <f>SUM(AF11:AF18)</f>
        <v>644.86562552374824</v>
      </c>
      <c r="AS11" s="1">
        <f>ABS(AR10-AR11)</f>
        <v>75.134374476251764</v>
      </c>
      <c r="AT11" s="110">
        <f>AM11</f>
        <v>0</v>
      </c>
      <c r="AU11" s="110">
        <f>AN11</f>
        <v>0</v>
      </c>
      <c r="AV11" s="1"/>
      <c r="AW11" s="52">
        <v>7.0000000000000007E-2</v>
      </c>
      <c r="AX11" s="1">
        <v>1.8205</v>
      </c>
      <c r="AY11" s="1"/>
      <c r="AZ11" s="1">
        <f>AM11</f>
        <v>0</v>
      </c>
      <c r="BA11" s="1">
        <f>AN11</f>
        <v>0</v>
      </c>
      <c r="BB11" s="1"/>
      <c r="BC11" s="1"/>
      <c r="BD11" s="1"/>
      <c r="BE11" s="1"/>
      <c r="BF11" s="1"/>
      <c r="BG11" s="1" t="s">
        <v>157</v>
      </c>
      <c r="BH11" s="1"/>
      <c r="BI11" s="1" t="s">
        <v>158</v>
      </c>
      <c r="BJ11" s="1" t="s">
        <v>159</v>
      </c>
      <c r="BK11" s="1" t="s">
        <v>164</v>
      </c>
      <c r="BL11" s="1" t="s">
        <v>165</v>
      </c>
      <c r="BM11" s="1" t="s">
        <v>149</v>
      </c>
      <c r="BN11" s="1" t="s">
        <v>150</v>
      </c>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96"/>
      <c r="EA11" s="96"/>
      <c r="EB11" s="96"/>
      <c r="EC11" s="1"/>
      <c r="ED11" s="1"/>
    </row>
    <row r="12" spans="1:134" ht="18" x14ac:dyDescent="0.25">
      <c r="A12" s="1"/>
      <c r="B12" s="1"/>
      <c r="C12" s="77" t="s">
        <v>166</v>
      </c>
      <c r="D12" s="103">
        <f>Print!D15</f>
        <v>4340</v>
      </c>
      <c r="E12" s="103">
        <f>Print!E15</f>
        <v>0</v>
      </c>
      <c r="F12" s="111">
        <f>Print!G15</f>
        <v>0.05</v>
      </c>
      <c r="G12" s="112" t="str">
        <f>Print!I15</f>
        <v>-</v>
      </c>
      <c r="H12" s="79" t="s">
        <v>150</v>
      </c>
      <c r="I12" s="103">
        <f>Print!L15</f>
        <v>0</v>
      </c>
      <c r="J12" s="107"/>
      <c r="K12" s="113">
        <f>Print!M15</f>
        <v>0</v>
      </c>
      <c r="L12" s="113">
        <f>Print!N15</f>
        <v>0</v>
      </c>
      <c r="M12" s="114" t="e">
        <f>Print!O15</f>
        <v>#N/A</v>
      </c>
      <c r="N12" s="1"/>
      <c r="O12" s="1">
        <f>IF(LEFT(Print!P15,3)="180",180,0)</f>
        <v>0</v>
      </c>
      <c r="P12" s="1"/>
      <c r="Q12" s="1" t="str">
        <f t="shared" si="0"/>
        <v/>
      </c>
      <c r="R12" s="1" t="str">
        <f t="shared" si="1"/>
        <v>B</v>
      </c>
      <c r="S12" s="1" t="str">
        <f t="shared" si="2"/>
        <v>C</v>
      </c>
      <c r="T12" s="1" t="str">
        <f t="shared" si="3"/>
        <v/>
      </c>
      <c r="U12" s="1" t="str">
        <f t="shared" si="4"/>
        <v/>
      </c>
      <c r="V12" s="1" t="str">
        <f t="shared" si="5"/>
        <v/>
      </c>
      <c r="W12" s="1" t="str">
        <f t="shared" si="6"/>
        <v/>
      </c>
      <c r="X12" s="1" t="str">
        <f t="shared" si="7"/>
        <v/>
      </c>
      <c r="Z12" s="110">
        <f t="shared" si="8"/>
        <v>4340</v>
      </c>
      <c r="AB12" s="1">
        <f>I12-I13</f>
        <v>0</v>
      </c>
      <c r="AD12" s="1" t="s">
        <v>150</v>
      </c>
      <c r="AE12" s="1">
        <f>IF(O12=180,PI(),IF(Main!O14="R",PI()-IF(G7=3,ACOS(((Z12*Z12)+(Z11*Z11)-(Z13*Z13))/(2*Z11*Z12)),ACOS(((Z12*Z12)+(Z11*Z11)-(Y25*Y25))/(2*Z11*Z12)))+PI(),IF(G7=3,ACOS(((Z12*Z12)+(Z11*Z11)-(Z13*Z13))/(2*Z11*Z12)),ACOS(((Z12*Z12)+(Z11*Z11)-(Y25*Y25))/(2*Z11*Z12)))))</f>
        <v>2.1937278628560479</v>
      </c>
      <c r="AF12" s="1">
        <f t="shared" si="9"/>
        <v>125.69134794190543</v>
      </c>
      <c r="AG12" s="1">
        <f>Z11+(Z12*-COS(AE12))</f>
        <v>6902.0366132723102</v>
      </c>
      <c r="AH12" s="1">
        <f>-Z12*SIN(AE12)</f>
        <v>-3524.8249018991692</v>
      </c>
      <c r="AI12" s="1">
        <f t="shared" ref="AI12:AI18" si="11">IF(ISERROR(AK12*COS(AL12)),0,AK12*COS(AL12))</f>
        <v>0</v>
      </c>
      <c r="AJ12" s="1">
        <f t="shared" si="10"/>
        <v>0</v>
      </c>
      <c r="AK12" s="1" t="e">
        <f t="shared" ref="AK12:AK18" si="12">M12</f>
        <v>#N/A</v>
      </c>
      <c r="AL12" s="1">
        <f>AE12/2+PI()</f>
        <v>4.2384565850178166</v>
      </c>
      <c r="AM12" s="110">
        <f>AG11+AI12</f>
        <v>4370</v>
      </c>
      <c r="AN12" s="1">
        <f>AJ12</f>
        <v>0</v>
      </c>
      <c r="AO12" s="110">
        <f>AG11+AI12</f>
        <v>4370</v>
      </c>
      <c r="AP12" s="1">
        <f>(AH11+AJ12)</f>
        <v>0</v>
      </c>
      <c r="AQ12" s="1">
        <f>AL12*180/PI()</f>
        <v>242.8456739709527</v>
      </c>
      <c r="AT12" s="110">
        <f>AM12</f>
        <v>4370</v>
      </c>
      <c r="AU12" s="110">
        <f>AN12</f>
        <v>0</v>
      </c>
      <c r="AV12" s="1"/>
      <c r="AW12" s="52">
        <v>0.08</v>
      </c>
      <c r="AX12" s="1">
        <v>1.6025</v>
      </c>
      <c r="AY12" s="1" t="s">
        <v>149</v>
      </c>
      <c r="AZ12" s="110">
        <f>AM12</f>
        <v>4370</v>
      </c>
      <c r="BA12" s="110">
        <f>AN12</f>
        <v>0</v>
      </c>
      <c r="BB12" s="110">
        <f>SQRT(((AZ12-AZ11)*(AZ12-AZ11))+((BA12-BA11)*(BA12-BA11)))</f>
        <v>4370</v>
      </c>
      <c r="BC12" s="1">
        <f>(AZ12-AZ11)/2+AZ11</f>
        <v>2185</v>
      </c>
      <c r="BD12" s="1">
        <f>(BA12-BA11)/2+BA11</f>
        <v>0</v>
      </c>
      <c r="BE12" s="1">
        <f>IF(AND(AZ12-AZ11&gt;0,BA12-BA11&gt;0),ATAN((BA12-BA11)/(AZ12-AZ11)),IF(AND(AZ12-AZ11&lt;0,BA12-BA11&gt;0),PI()+ATAN((BA12-BA11)/(AZ12-AZ11)),IF(AND(AZ12-AZ11&lt;0,BA12-BA11&lt;0),PI()+ATAN((BA12-BA11)/(AZ12-AZ11)),2*PI()+ATAN((BA12-BA11)/(AZ12-AZ11)))))</f>
        <v>6.2831853071795862</v>
      </c>
      <c r="BF12" s="1">
        <f>BE12*180/PI()</f>
        <v>360</v>
      </c>
      <c r="BG12" s="1">
        <f>BE12+PI()/2</f>
        <v>7.8539816339744828</v>
      </c>
      <c r="BH12" s="1">
        <f>BG12*180/PI()</f>
        <v>450</v>
      </c>
      <c r="BI12" s="1">
        <f>COS(BG12)*(BK12-(BB12*F11))+BC12</f>
        <v>2185.0000000000032</v>
      </c>
      <c r="BJ12" s="1">
        <f t="shared" ref="BJ12:BJ19" si="13">SIN(BG12)*(BK12-(BB12*F11))+BD12</f>
        <v>10815.75</v>
      </c>
      <c r="BK12" s="1">
        <f>BB12*VLOOKUP(F11,$AW$7:$AX$12,2,FALSE)</f>
        <v>11034.25</v>
      </c>
      <c r="BL12" s="1" t="str">
        <f>IF(ABS(AZ12-AZ11)&gt;ABS(BA12-BA11),"X","Y")</f>
        <v>X</v>
      </c>
      <c r="BM12" s="1">
        <f>IF(BL12="Y",BI12,BJ12)</f>
        <v>10815.75</v>
      </c>
      <c r="BN12" s="1">
        <f>IF(BL12="Y",BJ12,BI12)</f>
        <v>2185.0000000000032</v>
      </c>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96"/>
      <c r="EA12" s="96"/>
      <c r="EB12" s="96"/>
      <c r="EC12" s="1"/>
      <c r="ED12" s="1"/>
    </row>
    <row r="13" spans="1:134" ht="18" x14ac:dyDescent="0.25">
      <c r="A13" s="1"/>
      <c r="B13" s="1"/>
      <c r="C13" s="77" t="str">
        <f>IF(G7=3,"C-A","C-D")</f>
        <v>C-D</v>
      </c>
      <c r="D13" s="103">
        <f>Print!D16</f>
        <v>7160</v>
      </c>
      <c r="E13" s="103">
        <f>Print!E16</f>
        <v>0</v>
      </c>
      <c r="F13" s="111">
        <f>Print!G16</f>
        <v>0.05</v>
      </c>
      <c r="G13" s="112" t="str">
        <f>Print!I16</f>
        <v>-</v>
      </c>
      <c r="H13" s="79" t="s">
        <v>151</v>
      </c>
      <c r="I13" s="103">
        <f>Print!L16</f>
        <v>0</v>
      </c>
      <c r="J13" s="107"/>
      <c r="K13" s="113">
        <f>Print!M16</f>
        <v>0</v>
      </c>
      <c r="L13" s="113">
        <f>Print!N16</f>
        <v>0</v>
      </c>
      <c r="M13" s="114" t="e">
        <f>Print!O16</f>
        <v>#N/A</v>
      </c>
      <c r="N13" s="1"/>
      <c r="O13" s="1">
        <f>IF(LEFT(Print!P16,3)="180",180,0)</f>
        <v>0</v>
      </c>
      <c r="P13" s="1"/>
      <c r="Q13" s="1" t="str">
        <f t="shared" si="0"/>
        <v/>
      </c>
      <c r="R13" s="1" t="str">
        <f t="shared" si="1"/>
        <v/>
      </c>
      <c r="S13" s="1" t="str">
        <f t="shared" si="2"/>
        <v>C</v>
      </c>
      <c r="T13" s="1" t="str">
        <f t="shared" si="3"/>
        <v>D</v>
      </c>
      <c r="U13" s="1" t="str">
        <f t="shared" si="4"/>
        <v/>
      </c>
      <c r="V13" s="1" t="str">
        <f t="shared" si="5"/>
        <v/>
      </c>
      <c r="W13" s="1" t="str">
        <f t="shared" si="6"/>
        <v/>
      </c>
      <c r="X13" s="1" t="str">
        <f t="shared" si="7"/>
        <v/>
      </c>
      <c r="Z13" s="110">
        <f t="shared" si="8"/>
        <v>7160</v>
      </c>
      <c r="AB13" s="1">
        <f t="shared" ref="AB13:AB18" si="14">VLOOKUP(LEFT(C13,1),HEIGHT,2,FALSE)-VLOOKUP(RIGHT(C13,1),HEIGHT,2,FALSE)</f>
        <v>0</v>
      </c>
      <c r="AD13" s="1" t="s">
        <v>151</v>
      </c>
      <c r="AE13" s="1">
        <f>IF(O13=180,PI(),IF(Main!O15="R",PI()-IF(G7=3,ACOS(((Z13*Z13)+(Z12*Z12)-(Z11*Z11))/(2*Z12*Z13)),ACOS(((Z13*Z13)+(Z12*Z12)-(VLOOKUP("B-D",C25:Y44,23,FALSE)*VLOOKUP("B-D",C25:Y44,23,FALSE)))/(2*Z12*Z13)))+PI(),IF(G7=3,ACOS(((Z13*Z13)+(Z12*Z12)-(Z11*Z11))/(2*Z12*Z13)),ACOS(((Z13*Z13)+(Z12*Z12)-(VLOOKUP("B-D",C25:Y44,23,FALSE)*VLOOKUP("B-D",C25:Y44,23,FALSE)))/(2*Z12*Z13)))))</f>
        <v>1.5513063819519302</v>
      </c>
      <c r="AF13" s="1">
        <f t="shared" si="9"/>
        <v>88.883308417555256</v>
      </c>
      <c r="AG13" s="1">
        <f>IF(G7&lt;4,0,AG12-(Z13*COS(PI()-AE12-AE13)))</f>
        <v>1006.582383144776</v>
      </c>
      <c r="AH13" s="1">
        <f>IF(G7&lt;4,0,AH12+(Z13*SIN(PI()-AE12-AE13)))</f>
        <v>-7587.9787779505505</v>
      </c>
      <c r="AI13" s="1">
        <f>IF(ISERROR(AK13*COS(AL13)),0,AK13*COS(AL13))</f>
        <v>0</v>
      </c>
      <c r="AJ13" s="1">
        <f t="shared" si="10"/>
        <v>0</v>
      </c>
      <c r="AK13" s="1" t="e">
        <f t="shared" si="12"/>
        <v>#N/A</v>
      </c>
      <c r="AL13" s="1">
        <f>AE12+PI()-(PI()-AE13)-AE13/2</f>
        <v>2.9693810538320129</v>
      </c>
      <c r="AM13" s="110">
        <f>AG11</f>
        <v>4370</v>
      </c>
      <c r="AN13" s="1">
        <f>AH11</f>
        <v>0</v>
      </c>
      <c r="AO13" s="110">
        <f>AG11</f>
        <v>4370</v>
      </c>
      <c r="AP13" s="1">
        <f>AH11</f>
        <v>0</v>
      </c>
      <c r="AQ13" s="1">
        <f t="shared" ref="AQ13:AQ18" si="15">AL13*180/PI()</f>
        <v>170.13300215068304</v>
      </c>
      <c r="AS13" s="1" t="str">
        <f>IF(AS11/AR10&gt;(0.0085-(0.001*G7)),"ERROR","CORRECT")</f>
        <v>ERROR</v>
      </c>
      <c r="AT13" s="1">
        <f>AM15</f>
        <v>6902.0366132723102</v>
      </c>
      <c r="AU13" s="1">
        <f>AN15</f>
        <v>-3524.8249018991692</v>
      </c>
      <c r="AV13" s="1"/>
      <c r="AW13" s="1"/>
      <c r="AX13" s="1"/>
      <c r="AY13" s="1" t="s">
        <v>150</v>
      </c>
      <c r="AZ13" s="1">
        <f>AM15</f>
        <v>6902.0366132723102</v>
      </c>
      <c r="BA13" s="1">
        <f>AN15</f>
        <v>-3524.8249018991692</v>
      </c>
      <c r="BB13" s="110">
        <f>SQRT(((AZ13-AZ12)*(AZ13-AZ12))+((BA13-BA12)*(BA13-BA12)))</f>
        <v>4340</v>
      </c>
      <c r="BC13" s="1">
        <f t="shared" ref="BC13:BC19" si="16">(AZ13-AZ12)/2+AZ12</f>
        <v>5636.0183066361551</v>
      </c>
      <c r="BD13" s="1">
        <f t="shared" ref="BD13:BD19" si="17">(BA13-BA12)/2+BA12</f>
        <v>-1762.4124509495846</v>
      </c>
      <c r="BE13" s="1">
        <f t="shared" ref="BE13:BE19" si="18">IF(AND(AZ13-AZ12&gt;0,BA13-BA12&gt;0),ATAN((BA13-BA12)/(AZ13-AZ12)),IF(AND(AZ13-AZ12&lt;0,BA13-BA12&gt;0),PI()+ATAN((BA13-BA12)/(AZ13-AZ12)),IF(AND(AZ13-AZ12&lt;0,BA13-BA12&lt;0),PI()+ATAN((BA13-BA12)/(AZ13-AZ12)),2*PI()+ATAN((BA13-BA12)/(AZ13-AZ12)))))</f>
        <v>5.335320516445841</v>
      </c>
      <c r="BF13" s="1">
        <f t="shared" ref="BF13:BF19" si="19">BE13*180/PI()</f>
        <v>305.69134794190541</v>
      </c>
      <c r="BG13" s="1">
        <f>BE13+PI()/2</f>
        <v>6.9061168432407376</v>
      </c>
      <c r="BH13" s="1">
        <f t="shared" ref="BH13:BH19" si="20">BG13*180/PI()</f>
        <v>395.69134794190541</v>
      </c>
      <c r="BI13" s="1">
        <f t="shared" ref="BI13:BI19" si="21">COS(BG13)*(BK13-(BB13*F12))+BC13</f>
        <v>14359.9599388366</v>
      </c>
      <c r="BJ13" s="1">
        <f t="shared" si="13"/>
        <v>4504.3781668993815</v>
      </c>
      <c r="BK13" s="1">
        <f t="shared" ref="BK13:BK19" si="22">BB13*VLOOKUP(F12,$AW$7:$AX$12,2,FALSE)</f>
        <v>10958.5</v>
      </c>
      <c r="BL13" s="1" t="str">
        <f t="shared" ref="BL13:BL19" si="23">IF(ABS(AZ13-AZ12)&gt;ABS(BA13-BA12),"X","Y")</f>
        <v>Y</v>
      </c>
      <c r="BM13" s="1">
        <f t="shared" ref="BM13:BM19" si="24">IF(BL13="Y",BI13,BJ13)</f>
        <v>14359.9599388366</v>
      </c>
      <c r="BN13" s="1">
        <f t="shared" ref="BN13:BN19" si="25">IF(BL13="Y",BJ13,BI13)</f>
        <v>4504.3781668993815</v>
      </c>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96"/>
      <c r="EA13" s="96"/>
      <c r="EB13" s="96"/>
      <c r="EC13" s="1"/>
      <c r="ED13" s="1"/>
    </row>
    <row r="14" spans="1:134" ht="18" x14ac:dyDescent="0.25">
      <c r="A14" s="1"/>
      <c r="B14" s="1"/>
      <c r="C14" s="77" t="str">
        <f>IF(G7=4,"D-A",IF(G7&gt;4,"D-E",""))</f>
        <v>D-E</v>
      </c>
      <c r="D14" s="103">
        <f>Print!D17</f>
        <v>3490</v>
      </c>
      <c r="E14" s="103">
        <f>Print!E17</f>
        <v>0</v>
      </c>
      <c r="F14" s="111">
        <f>Print!G17</f>
        <v>0.05</v>
      </c>
      <c r="G14" s="112" t="str">
        <f>Print!I17</f>
        <v>-</v>
      </c>
      <c r="H14" s="79" t="str">
        <f>IF(G7&gt;=4,"D","")</f>
        <v>D</v>
      </c>
      <c r="I14" s="103">
        <f>Print!L17</f>
        <v>0</v>
      </c>
      <c r="J14" s="107"/>
      <c r="K14" s="113">
        <f>Print!M17</f>
        <v>0</v>
      </c>
      <c r="L14" s="113">
        <f>Print!N17</f>
        <v>0</v>
      </c>
      <c r="M14" s="114" t="e">
        <f>Print!O17</f>
        <v>#N/A</v>
      </c>
      <c r="N14" s="1"/>
      <c r="O14" s="1">
        <f>IF(LEFT(Print!P17,3)="180",180,0)</f>
        <v>0</v>
      </c>
      <c r="P14" s="1"/>
      <c r="Q14" s="1" t="str">
        <f t="shared" si="0"/>
        <v/>
      </c>
      <c r="R14" s="1" t="str">
        <f t="shared" si="1"/>
        <v/>
      </c>
      <c r="S14" s="1" t="str">
        <f t="shared" si="2"/>
        <v/>
      </c>
      <c r="T14" s="1" t="str">
        <f t="shared" si="3"/>
        <v>D</v>
      </c>
      <c r="U14" s="1" t="str">
        <f t="shared" si="4"/>
        <v>E</v>
      </c>
      <c r="V14" s="1" t="str">
        <f t="shared" si="5"/>
        <v/>
      </c>
      <c r="W14" s="1" t="str">
        <f t="shared" si="6"/>
        <v/>
      </c>
      <c r="X14" s="1" t="str">
        <f t="shared" si="7"/>
        <v/>
      </c>
      <c r="Z14" s="110">
        <f t="shared" si="8"/>
        <v>3490</v>
      </c>
      <c r="AB14" s="1">
        <f t="shared" si="14"/>
        <v>0</v>
      </c>
      <c r="AD14" s="1" t="s">
        <v>152</v>
      </c>
      <c r="AE14" s="1">
        <f>IF(O14=180,PI(),IF(Main!O16="R",PI()-IF(G7=4,ACOS(((Z14*Z14)+(Z13*Z13)-(Y25*Y25))/(2*Z13*Z14)),ACOS(((Z14*Z14)+(Z13*Z13)-(VLOOKUP("C-E",C25:Y44,23,FALSE)*VLOOKUP("C-E",C25:Y44,23,FALSE)))/(2*Z13*Z14)))+PI(),IF(G7=4,ACOS(((Z14*Z14)+(Z13*Z13)-(Y25*Y25))/(2*Z13*Z14)),ACOS(((Z14*Z14)+(Z13*Z13)-(VLOOKUP("C-E",C25:Y44,23,FALSE)*VLOOKUP("C-E",C25:Y44,23,FALSE)))/(2*Z13*Z14)))))</f>
        <v>1.6076357485822852</v>
      </c>
      <c r="AF14" s="1">
        <f t="shared" si="9"/>
        <v>92.110743388119658</v>
      </c>
      <c r="AG14" s="1">
        <f>IF(G7&lt;5,0,AG13-(Z14*COS(PI()-AE14+(PI()-AE12-AE13))))</f>
        <v>-1078.4162686017535</v>
      </c>
      <c r="AH14" s="1">
        <f>IF(G7&lt;5,0,AH13+(Z14*SIN(PI()-AE14+(PI()-AE12-AE13))))</f>
        <v>-4789.2503841589787</v>
      </c>
      <c r="AI14" s="1">
        <f t="shared" si="11"/>
        <v>0</v>
      </c>
      <c r="AJ14" s="1">
        <f t="shared" si="10"/>
        <v>0</v>
      </c>
      <c r="AK14" s="1" t="e">
        <f t="shared" si="12"/>
        <v>#N/A</v>
      </c>
      <c r="AL14" s="1">
        <f>PI()+AE12-(PI()-AE13)-(PI()-AE14)-AE14/2</f>
        <v>1.4072594655093273</v>
      </c>
      <c r="AM14" s="110">
        <f>AM12</f>
        <v>4370</v>
      </c>
      <c r="AN14" s="1">
        <f>AN12</f>
        <v>0</v>
      </c>
      <c r="AO14" s="110">
        <f>AO12</f>
        <v>4370</v>
      </c>
      <c r="AP14" s="1">
        <f>AP12</f>
        <v>0</v>
      </c>
      <c r="AQ14" s="1">
        <f t="shared" si="15"/>
        <v>80.630028053520505</v>
      </c>
      <c r="AT14" s="1">
        <f>AM18</f>
        <v>1006.582383144776</v>
      </c>
      <c r="AU14" s="1">
        <f>AN18</f>
        <v>-7587.9787779505505</v>
      </c>
      <c r="AV14" s="1"/>
      <c r="AW14" s="1"/>
      <c r="AX14" s="1"/>
      <c r="AY14" s="1" t="s">
        <v>151</v>
      </c>
      <c r="AZ14" s="1">
        <f>AM18</f>
        <v>1006.582383144776</v>
      </c>
      <c r="BA14" s="1">
        <f>AN18</f>
        <v>-7587.9787779505505</v>
      </c>
      <c r="BB14" s="110">
        <f t="shared" ref="BB14:BB19" si="26">SQRT(((AZ14-AZ13)*(AZ14-AZ13))+((BA14-BA13)*(BA14-BA13)))</f>
        <v>7160</v>
      </c>
      <c r="BC14" s="1">
        <f t="shared" si="16"/>
        <v>3954.3094982085431</v>
      </c>
      <c r="BD14" s="1">
        <f t="shared" si="17"/>
        <v>-5556.4018399248598</v>
      </c>
      <c r="BE14" s="1">
        <f t="shared" si="18"/>
        <v>3.7450342448079783</v>
      </c>
      <c r="BF14" s="1">
        <f t="shared" si="19"/>
        <v>214.5746563594607</v>
      </c>
      <c r="BG14" s="1">
        <f>BE14+PI()/2</f>
        <v>5.3158305716028753</v>
      </c>
      <c r="BH14" s="1">
        <f t="shared" si="20"/>
        <v>304.57465635946073</v>
      </c>
      <c r="BI14" s="1">
        <f>COS(BG14)*(BK14-(BB14*F13))+BC14</f>
        <v>14010.615341435718</v>
      </c>
      <c r="BJ14" s="1">
        <f>SIN(BG14)*(BK14-(BB14*F13))+BD14</f>
        <v>-20147.651059490505</v>
      </c>
      <c r="BK14" s="1">
        <f>BB14*VLOOKUP(F13,$AW$7:$AX$12,2,FALSE)</f>
        <v>18079</v>
      </c>
      <c r="BL14" s="1" t="str">
        <f t="shared" si="23"/>
        <v>X</v>
      </c>
      <c r="BM14" s="1">
        <f t="shared" si="24"/>
        <v>-20147.651059490505</v>
      </c>
      <c r="BN14" s="1">
        <f t="shared" si="25"/>
        <v>14010.615341435718</v>
      </c>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96"/>
      <c r="EA14" s="96"/>
      <c r="EB14" s="96"/>
      <c r="EC14" s="1"/>
      <c r="ED14" s="1"/>
    </row>
    <row r="15" spans="1:134" ht="18" x14ac:dyDescent="0.25">
      <c r="A15" s="1"/>
      <c r="B15" s="1"/>
      <c r="C15" s="77" t="str">
        <f>IF(G7=5,"E-A",IF(G7&gt;5,"E-F",""))</f>
        <v>E-F</v>
      </c>
      <c r="D15" s="103">
        <f>Print!D18</f>
        <v>2600</v>
      </c>
      <c r="E15" s="103">
        <f>Print!E18</f>
        <v>0</v>
      </c>
      <c r="F15" s="111">
        <f>Print!G18</f>
        <v>0.05</v>
      </c>
      <c r="G15" s="112">
        <f>Print!I18</f>
        <v>0</v>
      </c>
      <c r="H15" s="79" t="str">
        <f>IF(G7&gt;=5,"E","")</f>
        <v>E</v>
      </c>
      <c r="I15" s="103">
        <f>Print!L18</f>
        <v>0</v>
      </c>
      <c r="J15" s="107"/>
      <c r="K15" s="113">
        <f>Print!M18</f>
        <v>0</v>
      </c>
      <c r="L15" s="113">
        <f>Print!N18</f>
        <v>0</v>
      </c>
      <c r="M15" s="114" t="e">
        <f>Print!O18</f>
        <v>#N/A</v>
      </c>
      <c r="N15" s="1"/>
      <c r="O15" s="1">
        <f>IF(LEFT(Print!P18,3)="180",180,0)</f>
        <v>0</v>
      </c>
      <c r="P15" s="1"/>
      <c r="Q15" s="1" t="str">
        <f t="shared" si="0"/>
        <v/>
      </c>
      <c r="R15" s="1" t="str">
        <f t="shared" si="1"/>
        <v/>
      </c>
      <c r="S15" s="1" t="str">
        <f t="shared" si="2"/>
        <v/>
      </c>
      <c r="T15" s="1" t="str">
        <f t="shared" si="3"/>
        <v/>
      </c>
      <c r="U15" s="1" t="str">
        <f t="shared" si="4"/>
        <v>E</v>
      </c>
      <c r="V15" s="1" t="str">
        <f t="shared" si="5"/>
        <v>F</v>
      </c>
      <c r="W15" s="1" t="str">
        <f t="shared" si="6"/>
        <v/>
      </c>
      <c r="X15" s="1" t="str">
        <f t="shared" si="7"/>
        <v/>
      </c>
      <c r="Z15" s="110">
        <f t="shared" si="8"/>
        <v>2600</v>
      </c>
      <c r="AB15" s="1">
        <f t="shared" si="14"/>
        <v>0</v>
      </c>
      <c r="AD15" s="1" t="s">
        <v>153</v>
      </c>
      <c r="AE15" s="1">
        <f>IF(O15=180,PI(),IF(Main!O17="R",PI()-IF(G7=5,ACOS(((Z15*Z15)+(Z14*Z14)-(Y26*Y26))/(2*Z14*Z15)),IF(G7&lt;5,0,ACOS(((Z15*Z15)+(Z14*Z14)-(VLOOKUP("D-F",C25:Y44,23,FALSE)*VLOOKUP("D-F",C25:Y44,23,FALSE)))/(2*Z14*Z15))))+PI(),IF(G7=5,ACOS(((Z15*Z15)+(Z14*Z14)-(Y26*Y26))/(2*Z14*Z15)),IF(G7&lt;5,0,ACOS(((Z15*Z15)+(Z14*Z14)-(VLOOKUP("D-F",C25:Y44,23,FALSE)*VLOOKUP("D-F",C25:Y44,23,FALSE)))/(2*Z14*Z15))))))</f>
        <v>2.7746712435319441</v>
      </c>
      <c r="AF15" s="1">
        <f t="shared" si="9"/>
        <v>158.97695179069621</v>
      </c>
      <c r="AG15" s="1">
        <f>IF(G7&lt;6,0,AG14-(Z15*COS(PI()-AE15+PI()-AE14+(PI()-AE12-AE13))))</f>
        <v>-1780.3325820217724</v>
      </c>
      <c r="AH15" s="1">
        <f>IF(G7&lt;6,0,AH14+(Z15*SIN(PI()-AE15+PI()-AE14+(PI()-AE12-AE13))))</f>
        <v>-2285.7900811074505</v>
      </c>
      <c r="AI15" s="1">
        <f t="shared" si="11"/>
        <v>0</v>
      </c>
      <c r="AJ15" s="1">
        <f t="shared" si="10"/>
        <v>0</v>
      </c>
      <c r="AK15" s="1" t="e">
        <f t="shared" si="12"/>
        <v>#N/A</v>
      </c>
      <c r="AL15" s="1">
        <f>PI()+AE12-(PI()-AE13)-(PI()-AE14)-(PI()-AE15)-AE15/2</f>
        <v>0.45682030797664885</v>
      </c>
      <c r="AM15" s="1">
        <f>AG12+AI13</f>
        <v>6902.0366132723102</v>
      </c>
      <c r="AN15" s="1">
        <f>AH12+AJ13</f>
        <v>-3524.8249018991692</v>
      </c>
      <c r="AO15" s="1">
        <f>AG12</f>
        <v>6902.0366132723102</v>
      </c>
      <c r="AP15" s="1">
        <f>AH12</f>
        <v>-3524.8249018991692</v>
      </c>
      <c r="AQ15" s="1">
        <f t="shared" si="15"/>
        <v>26.173875642928433</v>
      </c>
      <c r="AT15" s="1">
        <f>AM21</f>
        <v>-1078.4162686017535</v>
      </c>
      <c r="AU15" s="1">
        <f>AN21</f>
        <v>-4789.2503841589787</v>
      </c>
      <c r="AV15" s="1"/>
      <c r="AW15" s="1"/>
      <c r="AX15" s="1"/>
      <c r="AY15" s="1" t="s">
        <v>152</v>
      </c>
      <c r="AZ15" s="1">
        <f>AM21</f>
        <v>-1078.4162686017535</v>
      </c>
      <c r="BA15" s="1">
        <f>AN21</f>
        <v>-4789.2503841589787</v>
      </c>
      <c r="BB15" s="110">
        <f t="shared" si="26"/>
        <v>3489.9999999999995</v>
      </c>
      <c r="BC15" s="1">
        <f t="shared" si="16"/>
        <v>-35.916942728488721</v>
      </c>
      <c r="BD15" s="1">
        <f t="shared" si="17"/>
        <v>-6188.6145810547641</v>
      </c>
      <c r="BE15" s="1">
        <f t="shared" si="18"/>
        <v>2.2110773398004704</v>
      </c>
      <c r="BF15" s="1">
        <f t="shared" si="19"/>
        <v>126.68539974758035</v>
      </c>
      <c r="BG15" s="1">
        <f>IF(BE15&lt;0,BE15-PI()/2,BE15+PI()/2)</f>
        <v>3.7818736665953669</v>
      </c>
      <c r="BH15" s="1">
        <f t="shared" si="20"/>
        <v>216.68539974758033</v>
      </c>
      <c r="BI15" s="1">
        <f t="shared" si="21"/>
        <v>-6962.7697173626284</v>
      </c>
      <c r="BJ15" s="1">
        <f>SIN(BG15)*(BK15-(BB15*F14))+BD15</f>
        <v>-11348.986244127424</v>
      </c>
      <c r="BK15" s="1">
        <f t="shared" si="22"/>
        <v>8812.2499999999982</v>
      </c>
      <c r="BL15" s="1" t="str">
        <f t="shared" si="23"/>
        <v>Y</v>
      </c>
      <c r="BM15" s="1">
        <f t="shared" si="24"/>
        <v>-6962.7697173626284</v>
      </c>
      <c r="BN15" s="1">
        <f t="shared" si="25"/>
        <v>-11348.986244127424</v>
      </c>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96"/>
      <c r="EA15" s="96"/>
      <c r="EB15" s="96"/>
      <c r="EC15" s="1"/>
      <c r="ED15" s="1"/>
    </row>
    <row r="16" spans="1:134" ht="18" x14ac:dyDescent="0.25">
      <c r="A16" s="1"/>
      <c r="B16" s="1"/>
      <c r="C16" s="77" t="str">
        <f>IF(G7=6,"F-A",IF(G7&gt;6,"F-G",""))</f>
        <v>F-A</v>
      </c>
      <c r="D16" s="103">
        <f>Print!D19</f>
        <v>7480</v>
      </c>
      <c r="E16" s="103">
        <f>Print!E19</f>
        <v>0</v>
      </c>
      <c r="F16" s="111">
        <f>Print!G19</f>
        <v>0.05</v>
      </c>
      <c r="G16" s="112" t="str">
        <f>Print!I19</f>
        <v>-</v>
      </c>
      <c r="H16" s="79" t="str">
        <f>IF(G7&gt;=6,"F","")</f>
        <v>F</v>
      </c>
      <c r="I16" s="103">
        <f>Print!L19</f>
        <v>0</v>
      </c>
      <c r="J16" s="107"/>
      <c r="K16" s="113" t="str">
        <f>Print!M19</f>
        <v>-</v>
      </c>
      <c r="L16" s="113" t="str">
        <f>Print!N19</f>
        <v>-</v>
      </c>
      <c r="M16" s="114" t="e">
        <f>Print!O19</f>
        <v>#N/A</v>
      </c>
      <c r="N16" s="1"/>
      <c r="O16" s="1">
        <f>IF(LEFT(Print!P19,3)="180",180,0)</f>
        <v>0</v>
      </c>
      <c r="P16" s="1"/>
      <c r="Q16" s="1" t="str">
        <f t="shared" si="0"/>
        <v>A</v>
      </c>
      <c r="R16" s="1" t="str">
        <f t="shared" si="1"/>
        <v/>
      </c>
      <c r="S16" s="1" t="str">
        <f t="shared" si="2"/>
        <v/>
      </c>
      <c r="T16" s="1" t="str">
        <f t="shared" si="3"/>
        <v/>
      </c>
      <c r="U16" s="1" t="str">
        <f t="shared" si="4"/>
        <v/>
      </c>
      <c r="V16" s="1" t="str">
        <f t="shared" si="5"/>
        <v>F</v>
      </c>
      <c r="W16" s="1" t="str">
        <f t="shared" si="6"/>
        <v/>
      </c>
      <c r="X16" s="1" t="str">
        <f t="shared" si="7"/>
        <v/>
      </c>
      <c r="Z16" s="110">
        <f t="shared" si="8"/>
        <v>7480</v>
      </c>
      <c r="AB16" s="1">
        <f t="shared" si="14"/>
        <v>0</v>
      </c>
      <c r="AD16" s="1" t="s">
        <v>154</v>
      </c>
      <c r="AE16" s="1">
        <f>IF(O16=180,PI(),IF(Main!O18="R",PI()-IF(G7=6,ACOS(((Z16*Z16)+(Z15*Z15)-(Y27*Y27))/(2*Z15*Z16)),IF(G7&lt;6,0,ACOS(((Z16*Z16)+(Z15*Z15)-(VLOOKUP("E-G",C25:Y44,23,FALSE)*VLOOKUP("E-G",C25:Y44,23,FALSE)))/(2*Z15*Z16))))+PI(),IF(G7=6,ACOS(((Z16*Z16)+(Z15*Z15)-(Y27*Y27))/(2*Z15*Z16)),IF(G7&lt;6,0,ACOS(((Z16*Z16)+(Z15*Z15)-(VLOOKUP("E-G",C25:Y44,23,FALSE)*VLOOKUP("E-G",C25:Y44,23,FALSE)))/(2*Z15*Z16))))))</f>
        <v>1.7217182606316461</v>
      </c>
      <c r="AF16" s="1">
        <f t="shared" si="9"/>
        <v>98.647189844798405</v>
      </c>
      <c r="AG16" s="1">
        <f>IF(G7&lt;7,0,AG15-Z16*COS(PI()-AE16+PI()-AE15+PI()-AE14+(PI()-AE12-AE13)))</f>
        <v>0</v>
      </c>
      <c r="AH16" s="1">
        <f>IF(G7&lt;7,0,AH15+Z16*SIN(PI()-AE16+PI()-AE15+PI()-AE14+(PI()-AE12-AE13)))</f>
        <v>0</v>
      </c>
      <c r="AI16" s="1">
        <f>IF(ISERROR(AK16*COS(AL16)),0,AK16*COS(AL16))</f>
        <v>0</v>
      </c>
      <c r="AJ16" s="1">
        <f t="shared" si="10"/>
        <v>0</v>
      </c>
      <c r="AK16" s="1" t="e">
        <f t="shared" si="12"/>
        <v>#N/A</v>
      </c>
      <c r="AL16" s="1">
        <f>PI()+AE12-(PI()-AE13)-(PI()-AE14)-(PI()-AE15)-(PI()-AE16)-AE16/2</f>
        <v>-0.43657759353134917</v>
      </c>
      <c r="AM16" s="1">
        <f>AG12</f>
        <v>6902.0366132723102</v>
      </c>
      <c r="AN16" s="1">
        <f>AH12</f>
        <v>-3524.8249018991692</v>
      </c>
      <c r="AO16" s="1">
        <f>AG13</f>
        <v>1006.582383144776</v>
      </c>
      <c r="AP16" s="1">
        <f>AH13</f>
        <v>-7587.9787779505505</v>
      </c>
      <c r="AQ16" s="1">
        <f t="shared" si="15"/>
        <v>-25.014053539324259</v>
      </c>
      <c r="AS16" s="1">
        <f>AS11/AR10</f>
        <v>0.104353297883683</v>
      </c>
      <c r="AT16" s="1">
        <f>AM24</f>
        <v>-1780.3325820217724</v>
      </c>
      <c r="AU16" s="1">
        <f>AN24</f>
        <v>-2285.7900811074505</v>
      </c>
      <c r="AV16" s="1"/>
      <c r="AW16" s="1"/>
      <c r="AX16" s="1"/>
      <c r="AY16" s="1" t="s">
        <v>153</v>
      </c>
      <c r="AZ16" s="1">
        <f>AM24</f>
        <v>-1780.3325820217724</v>
      </c>
      <c r="BA16" s="1">
        <f>AN24</f>
        <v>-2285.7900811074505</v>
      </c>
      <c r="BB16" s="110">
        <f>SQRT(((AZ16-AZ15)*(AZ16-AZ15))+((BA16-BA15)*(BA16-BA15)))</f>
        <v>2600</v>
      </c>
      <c r="BC16" s="1">
        <f t="shared" si="16"/>
        <v>-1429.3744253117629</v>
      </c>
      <c r="BD16" s="1">
        <f t="shared" si="17"/>
        <v>-3537.5202326332146</v>
      </c>
      <c r="BE16" s="1">
        <f t="shared" si="18"/>
        <v>1.8441559297426211</v>
      </c>
      <c r="BF16" s="1">
        <f t="shared" si="19"/>
        <v>105.66235153827655</v>
      </c>
      <c r="BG16" s="1">
        <f>IF(BE16&lt;0,BE16-PI()/2,BE16+PI()/2)</f>
        <v>3.4149522565375179</v>
      </c>
      <c r="BH16" s="1">
        <f t="shared" si="20"/>
        <v>195.66235153827654</v>
      </c>
      <c r="BI16" s="1">
        <f>COS(BG16)*(BK16-(BB16*F15))+BC16</f>
        <v>-7625.4386753642948</v>
      </c>
      <c r="BJ16" s="1">
        <f>SIN(BG16)*(BK16-(BB16*F15))+BD16</f>
        <v>-5274.7631083477618</v>
      </c>
      <c r="BK16" s="1">
        <f t="shared" si="22"/>
        <v>6565</v>
      </c>
      <c r="BL16" s="1" t="str">
        <f t="shared" si="23"/>
        <v>Y</v>
      </c>
      <c r="BM16" s="1">
        <f t="shared" si="24"/>
        <v>-7625.4386753642948</v>
      </c>
      <c r="BN16" s="1">
        <f t="shared" si="25"/>
        <v>-5274.7631083477618</v>
      </c>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96"/>
      <c r="EA16" s="96"/>
      <c r="EB16" s="96"/>
      <c r="EC16" s="1"/>
      <c r="ED16" s="1"/>
    </row>
    <row r="17" spans="1:134" ht="18" x14ac:dyDescent="0.25">
      <c r="A17" s="1"/>
      <c r="B17" s="1"/>
      <c r="C17" s="77" t="str">
        <f>IF(G7=7,"G-A",IF(G7&gt;7,"G-H",""))</f>
        <v/>
      </c>
      <c r="D17" s="103" t="str">
        <f>Print!D20</f>
        <v>-</v>
      </c>
      <c r="E17" s="103">
        <f>Print!E20</f>
        <v>0</v>
      </c>
      <c r="F17" s="111">
        <f>Print!G20</f>
        <v>0.05</v>
      </c>
      <c r="G17" s="112" t="str">
        <f>Print!I20</f>
        <v>-</v>
      </c>
      <c r="H17" s="79" t="str">
        <f>IF(G7&gt;=7,"G","")</f>
        <v/>
      </c>
      <c r="I17" s="103">
        <f>Print!L20</f>
        <v>0</v>
      </c>
      <c r="J17" s="107"/>
      <c r="K17" s="113" t="str">
        <f>Print!M20</f>
        <v>-</v>
      </c>
      <c r="L17" s="113" t="str">
        <f>Print!N20</f>
        <v>-</v>
      </c>
      <c r="M17" s="114" t="e">
        <f>Print!O20</f>
        <v>#N/A</v>
      </c>
      <c r="N17" s="1"/>
      <c r="O17" s="1">
        <f>IF(LEFT(Print!P20,3)="180",180,0)</f>
        <v>0</v>
      </c>
      <c r="P17" s="1"/>
      <c r="Q17" s="1" t="str">
        <f t="shared" si="0"/>
        <v/>
      </c>
      <c r="R17" s="1" t="str">
        <f t="shared" si="1"/>
        <v/>
      </c>
      <c r="S17" s="1" t="str">
        <f t="shared" si="2"/>
        <v/>
      </c>
      <c r="T17" s="1" t="str">
        <f t="shared" si="3"/>
        <v/>
      </c>
      <c r="U17" s="1" t="str">
        <f t="shared" si="4"/>
        <v/>
      </c>
      <c r="V17" s="1" t="str">
        <f t="shared" si="5"/>
        <v/>
      </c>
      <c r="W17" s="1" t="str">
        <f t="shared" si="6"/>
        <v/>
      </c>
      <c r="X17" s="1" t="str">
        <f t="shared" si="7"/>
        <v/>
      </c>
      <c r="Z17" s="110" t="e">
        <f t="shared" si="8"/>
        <v>#VALUE!</v>
      </c>
      <c r="AB17" s="1">
        <f t="shared" si="14"/>
        <v>0</v>
      </c>
      <c r="AD17" s="1" t="s">
        <v>155</v>
      </c>
      <c r="AE17" s="1">
        <f>IF(O17=180,PI(),IF(Main!O19="R",PI()-IF(G7=7,ACOS(((Z17*Z17)+(Z16*Z16)-(Y28*Y28))/(2*Z16*Z17)),IF(G7&lt;7,0,ACOS(((Z17*Z17)+(Z16*Z16)-(VLOOKUP("F-H",C25:Y44,23,FALSE)*VLOOKUP("F-H",C25:Y44,23,FALSE)))/(2*Z16*Z17))))+PI(),IF(G7=7,ACOS(((Z17*Z17)+(Z16*Z16)-(Y28*Y28))/(2*Z16*Z17)),IF(G7&lt;7,0,ACOS(((Z17*Z17)+(Z16*Z16)-(VLOOKUP("F-H",C25:Y44,23,FALSE)*VLOOKUP("F-H",C25:Y44,23,FALSE)))/(2*Z16*Z17))))))</f>
        <v>0</v>
      </c>
      <c r="AF17" s="1">
        <f t="shared" si="9"/>
        <v>0</v>
      </c>
      <c r="AG17" s="1">
        <f>IF(G7&lt;8,0,Z18*COS(AE11))</f>
        <v>0</v>
      </c>
      <c r="AH17" s="1">
        <f>IF(G7&lt;8,0,-Z18*SIN(AE11))</f>
        <v>0</v>
      </c>
      <c r="AI17" s="1">
        <f t="shared" si="11"/>
        <v>0</v>
      </c>
      <c r="AJ17" s="1">
        <f t="shared" si="10"/>
        <v>0</v>
      </c>
      <c r="AK17" s="1" t="e">
        <f>M17</f>
        <v>#N/A</v>
      </c>
      <c r="AL17" s="1">
        <f>PI()+AE12-(PI()-AE13)-(PI()-AE14)-(PI()-AE15)-(PI()-AE16)-(PI()-AE17)-AE17/2</f>
        <v>-2.7173111168053192</v>
      </c>
      <c r="AM17" s="1">
        <f>AM15</f>
        <v>6902.0366132723102</v>
      </c>
      <c r="AN17" s="1">
        <f>AN15</f>
        <v>-3524.8249018991692</v>
      </c>
      <c r="AO17" s="1">
        <f>AO11</f>
        <v>0</v>
      </c>
      <c r="AP17" s="1">
        <f>AP11</f>
        <v>0</v>
      </c>
      <c r="AQ17" s="1">
        <f t="shared" si="15"/>
        <v>-155.69045861692507</v>
      </c>
      <c r="AS17" s="1">
        <f>0.0085-(0.001*G7)</f>
        <v>2.5000000000000005E-3</v>
      </c>
      <c r="AT17" s="1">
        <f>AM27</f>
        <v>0</v>
      </c>
      <c r="AU17" s="1">
        <f>AN27</f>
        <v>0</v>
      </c>
      <c r="AV17" s="1"/>
      <c r="AW17" s="1"/>
      <c r="AX17" s="1"/>
      <c r="AY17" s="1" t="s">
        <v>154</v>
      </c>
      <c r="AZ17" s="1">
        <f>AM27</f>
        <v>0</v>
      </c>
      <c r="BA17" s="1">
        <f>AN27</f>
        <v>0</v>
      </c>
      <c r="BB17" s="110">
        <f t="shared" si="26"/>
        <v>2897.3126164598661</v>
      </c>
      <c r="BC17" s="1">
        <f t="shared" si="16"/>
        <v>-890.1662910108862</v>
      </c>
      <c r="BD17" s="1">
        <f t="shared" si="17"/>
        <v>-1142.8950405537253</v>
      </c>
      <c r="BE17" s="1">
        <f t="shared" si="18"/>
        <v>0.90907318069032095</v>
      </c>
      <c r="BF17" s="1">
        <f t="shared" si="19"/>
        <v>52.086056522089073</v>
      </c>
      <c r="BG17" s="1">
        <f>IF(BE17&lt;0,BE17-PI()/2,BE17+PI()/2)</f>
        <v>2.4798695074852173</v>
      </c>
      <c r="BH17" s="1">
        <f t="shared" si="20"/>
        <v>142.08605652208905</v>
      </c>
      <c r="BI17" s="1">
        <f t="shared" si="21"/>
        <v>-6547.4967417518246</v>
      </c>
      <c r="BJ17" s="1">
        <f t="shared" si="13"/>
        <v>3263.4280999501625</v>
      </c>
      <c r="BK17" s="1">
        <f t="shared" si="22"/>
        <v>7315.7143565611614</v>
      </c>
      <c r="BL17" s="1" t="str">
        <f t="shared" si="23"/>
        <v>Y</v>
      </c>
      <c r="BM17" s="1">
        <f t="shared" si="24"/>
        <v>-6547.4967417518246</v>
      </c>
      <c r="BN17" s="1">
        <f t="shared" si="25"/>
        <v>3263.4280999501625</v>
      </c>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96"/>
      <c r="EA17" s="96"/>
      <c r="EB17" s="96"/>
      <c r="EC17" s="1"/>
      <c r="ED17" s="1"/>
    </row>
    <row r="18" spans="1:134" ht="18" x14ac:dyDescent="0.25">
      <c r="A18" s="1"/>
      <c r="B18" s="1"/>
      <c r="C18" s="77" t="str">
        <f>IF(G7=8,"H-A",IF(G7&gt;8,"NO MORE!",""))</f>
        <v/>
      </c>
      <c r="D18" s="115" t="str">
        <f>Print!D21</f>
        <v>-</v>
      </c>
      <c r="E18" s="115">
        <f>Print!E21</f>
        <v>0</v>
      </c>
      <c r="F18" s="116">
        <f>Print!G21</f>
        <v>0.05</v>
      </c>
      <c r="G18" s="117" t="str">
        <f>Print!I21</f>
        <v>-</v>
      </c>
      <c r="H18" s="79" t="str">
        <f>IF(G7&gt;=8,"H","")</f>
        <v/>
      </c>
      <c r="I18" s="115">
        <f>Print!L21</f>
        <v>0</v>
      </c>
      <c r="J18" s="107"/>
      <c r="K18" s="118" t="str">
        <f>Print!M21</f>
        <v>-</v>
      </c>
      <c r="L18" s="118" t="str">
        <f>Print!N21</f>
        <v>-</v>
      </c>
      <c r="M18" s="119" t="e">
        <f>Print!O21</f>
        <v>#N/A</v>
      </c>
      <c r="N18" s="1"/>
      <c r="O18" s="1">
        <f>IF(LEFT(Print!P21,3)="180",180,0)</f>
        <v>0</v>
      </c>
      <c r="P18" s="1"/>
      <c r="Q18" s="1" t="str">
        <f t="shared" si="0"/>
        <v/>
      </c>
      <c r="R18" s="1" t="str">
        <f t="shared" si="1"/>
        <v/>
      </c>
      <c r="S18" s="1" t="str">
        <f t="shared" si="2"/>
        <v/>
      </c>
      <c r="T18" s="1" t="str">
        <f t="shared" si="3"/>
        <v/>
      </c>
      <c r="U18" s="1" t="str">
        <f t="shared" si="4"/>
        <v/>
      </c>
      <c r="V18" s="1" t="str">
        <f t="shared" si="5"/>
        <v/>
      </c>
      <c r="W18" s="1" t="str">
        <f t="shared" si="6"/>
        <v/>
      </c>
      <c r="X18" s="1" t="str">
        <f t="shared" si="7"/>
        <v/>
      </c>
      <c r="Z18" s="110" t="e">
        <f t="shared" si="8"/>
        <v>#VALUE!</v>
      </c>
      <c r="AB18" s="1">
        <f t="shared" si="14"/>
        <v>0</v>
      </c>
      <c r="AD18" s="1" t="s">
        <v>156</v>
      </c>
      <c r="AE18" s="1">
        <f>IF(O18=180,PI(),IF(Main!O20="R",PI()-IF(G7=8,ACOS(((Z18*Z18)+(Z17*Z17)-(Y29*Y29))/(2*Z17*Z18)),IF(G7&lt;8,0,0))+PI(),IF(G7=8,ACOS(((Z18*Z18)+(Z17*Z17)-(Y29*Y29))/(2*Z17*Z18)),IF(G7&lt;8,0,0))))</f>
        <v>0</v>
      </c>
      <c r="AF18" s="1">
        <f t="shared" si="9"/>
        <v>0</v>
      </c>
      <c r="AG18" s="1">
        <f>0</f>
        <v>0</v>
      </c>
      <c r="AH18" s="1">
        <f>0</f>
        <v>0</v>
      </c>
      <c r="AI18" s="1">
        <f t="shared" si="11"/>
        <v>0</v>
      </c>
      <c r="AJ18" s="1">
        <f t="shared" si="10"/>
        <v>0</v>
      </c>
      <c r="AK18" s="1" t="e">
        <f t="shared" si="12"/>
        <v>#N/A</v>
      </c>
      <c r="AL18" s="1">
        <f>PI()+AE12-(PI()-AE13)-(PI()-AE14)-(PI()-AE15)-(PI()-AE16)-(PI()-AE17)-(PI()-AE18)-AE18/2</f>
        <v>-5.8589037703951128</v>
      </c>
      <c r="AM18" s="1">
        <f>IF(G7&gt;3,AG13+AI14,AG13+AI11)</f>
        <v>1006.582383144776</v>
      </c>
      <c r="AN18" s="1">
        <f>IF(G7&gt;3,AH13+AJ14,AH13+AJ11)</f>
        <v>-7587.9787779505505</v>
      </c>
      <c r="AQ18" s="1">
        <f t="shared" si="15"/>
        <v>-335.69045861692507</v>
      </c>
      <c r="AT18" s="1">
        <f>AM30</f>
        <v>0</v>
      </c>
      <c r="AU18" s="1">
        <f>AN30</f>
        <v>0</v>
      </c>
      <c r="AV18" s="1"/>
      <c r="AW18" s="1"/>
      <c r="AX18" s="1"/>
      <c r="AY18" s="1" t="s">
        <v>155</v>
      </c>
      <c r="AZ18" s="1">
        <f>AM30</f>
        <v>0</v>
      </c>
      <c r="BA18" s="1">
        <f>AN30</f>
        <v>0</v>
      </c>
      <c r="BB18" s="110">
        <f t="shared" si="26"/>
        <v>0</v>
      </c>
      <c r="BC18" s="1">
        <f t="shared" si="16"/>
        <v>0</v>
      </c>
      <c r="BD18" s="1">
        <f t="shared" si="17"/>
        <v>0</v>
      </c>
      <c r="BE18" s="1" t="e">
        <f t="shared" si="18"/>
        <v>#DIV/0!</v>
      </c>
      <c r="BF18" s="1" t="e">
        <f t="shared" si="19"/>
        <v>#DIV/0!</v>
      </c>
      <c r="BG18" s="1" t="e">
        <f>IF(BE18&lt;0,BE18-PI()/2,BE18+PI()/2)</f>
        <v>#DIV/0!</v>
      </c>
      <c r="BH18" s="1" t="e">
        <f t="shared" si="20"/>
        <v>#DIV/0!</v>
      </c>
      <c r="BI18" s="1" t="e">
        <f t="shared" si="21"/>
        <v>#DIV/0!</v>
      </c>
      <c r="BJ18" s="1" t="e">
        <f t="shared" si="13"/>
        <v>#DIV/0!</v>
      </c>
      <c r="BK18" s="1">
        <f t="shared" si="22"/>
        <v>0</v>
      </c>
      <c r="BL18" s="1" t="str">
        <f t="shared" si="23"/>
        <v>Y</v>
      </c>
      <c r="BM18" s="1" t="e">
        <f t="shared" si="24"/>
        <v>#DIV/0!</v>
      </c>
      <c r="BN18" s="1" t="e">
        <f t="shared" si="25"/>
        <v>#DIV/0!</v>
      </c>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96"/>
      <c r="EA18" s="96"/>
      <c r="EB18" s="96"/>
      <c r="EC18" s="1"/>
      <c r="ED18" s="1"/>
    </row>
    <row r="19" spans="1:134" ht="15" x14ac:dyDescent="0.2">
      <c r="A19" s="1"/>
      <c r="B19" s="1"/>
      <c r="C19" s="77"/>
      <c r="D19" s="1"/>
      <c r="E19" s="1"/>
      <c r="F19" s="120"/>
      <c r="G19" s="1"/>
      <c r="H19" s="1"/>
      <c r="I19" s="1"/>
      <c r="J19" s="1"/>
      <c r="K19" s="121" t="s">
        <v>167</v>
      </c>
      <c r="L19" s="122" t="e">
        <f>Print!#REF!</f>
        <v>#REF!</v>
      </c>
      <c r="M19" s="1"/>
      <c r="N19" s="1"/>
      <c r="O19" s="1"/>
      <c r="P19" s="1"/>
      <c r="Z19" s="110"/>
      <c r="AM19" s="1">
        <f>AG13</f>
        <v>1006.582383144776</v>
      </c>
      <c r="AN19" s="1">
        <f>AH13</f>
        <v>-7587.9787779505505</v>
      </c>
      <c r="AV19" s="1"/>
      <c r="AW19" s="1"/>
      <c r="AX19" s="1"/>
      <c r="AY19" s="1" t="s">
        <v>156</v>
      </c>
      <c r="AZ19" s="1">
        <f>AM33</f>
        <v>0</v>
      </c>
      <c r="BA19" s="1">
        <f>AN33</f>
        <v>0</v>
      </c>
      <c r="BB19" s="110">
        <f t="shared" si="26"/>
        <v>0</v>
      </c>
      <c r="BC19" s="1">
        <f t="shared" si="16"/>
        <v>0</v>
      </c>
      <c r="BD19" s="1">
        <f t="shared" si="17"/>
        <v>0</v>
      </c>
      <c r="BE19" s="1" t="e">
        <f t="shared" si="18"/>
        <v>#DIV/0!</v>
      </c>
      <c r="BF19" s="1" t="e">
        <f t="shared" si="19"/>
        <v>#DIV/0!</v>
      </c>
      <c r="BG19" s="1" t="e">
        <f>IF(BE19&lt;0,BE19-PI()/2,BE19+PI()/2)</f>
        <v>#DIV/0!</v>
      </c>
      <c r="BH19" s="1" t="e">
        <f t="shared" si="20"/>
        <v>#DIV/0!</v>
      </c>
      <c r="BI19" s="1" t="e">
        <f t="shared" si="21"/>
        <v>#DIV/0!</v>
      </c>
      <c r="BJ19" s="1" t="e">
        <f t="shared" si="13"/>
        <v>#DIV/0!</v>
      </c>
      <c r="BK19" s="1">
        <f t="shared" si="22"/>
        <v>0</v>
      </c>
      <c r="BL19" s="1" t="str">
        <f t="shared" si="23"/>
        <v>Y</v>
      </c>
      <c r="BM19" s="1" t="e">
        <f t="shared" si="24"/>
        <v>#DIV/0!</v>
      </c>
      <c r="BN19" s="1" t="e">
        <f t="shared" si="25"/>
        <v>#DIV/0!</v>
      </c>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96"/>
      <c r="EA19" s="96"/>
      <c r="EB19" s="96"/>
      <c r="EC19" s="1"/>
      <c r="ED19" s="1"/>
    </row>
    <row r="20" spans="1:134" ht="15.75" customHeight="1" x14ac:dyDescent="0.2">
      <c r="A20" s="1"/>
      <c r="B20" s="1"/>
      <c r="C20" s="314" t="str">
        <f>IF(ISERROR(IF(AS13="ERROR","ERROR","")),"",IF(AS13="ERROR","- ERROR - REMEASURE",""))</f>
        <v>- ERROR - REMEASURE</v>
      </c>
      <c r="D20" s="314"/>
      <c r="E20" s="314"/>
      <c r="F20" s="314"/>
      <c r="G20" s="123" t="s">
        <v>168</v>
      </c>
      <c r="H20" s="50"/>
      <c r="I20" s="315" t="s">
        <v>169</v>
      </c>
      <c r="J20" s="315"/>
      <c r="K20" s="124"/>
      <c r="L20" s="125"/>
      <c r="M20" s="125"/>
      <c r="N20" s="125"/>
      <c r="O20" s="1"/>
      <c r="P20" s="1"/>
      <c r="Y20" s="110"/>
      <c r="AM20" s="1">
        <f>AM18</f>
        <v>1006.582383144776</v>
      </c>
      <c r="AN20" s="1">
        <f>AN18</f>
        <v>-7587.9787779505505</v>
      </c>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96"/>
      <c r="EA20" s="96"/>
      <c r="EB20" s="96"/>
      <c r="EC20" s="1"/>
      <c r="ED20" s="1"/>
    </row>
    <row r="21" spans="1:134" ht="18" x14ac:dyDescent="0.25">
      <c r="A21" s="1"/>
      <c r="B21" s="1"/>
      <c r="C21" s="314"/>
      <c r="D21" s="314"/>
      <c r="E21" s="314"/>
      <c r="F21" s="314"/>
      <c r="G21" s="126">
        <f>IF(G7=3,0,AS16)</f>
        <v>0.104353297883683</v>
      </c>
      <c r="H21" s="120"/>
      <c r="I21" s="307">
        <f>Print!K24</f>
        <v>0</v>
      </c>
      <c r="J21" s="307"/>
      <c r="K21" s="307"/>
      <c r="L21" s="307"/>
      <c r="M21" s="307"/>
      <c r="N21" s="307"/>
      <c r="O21" s="1"/>
      <c r="P21" s="1"/>
      <c r="Y21" s="110"/>
      <c r="AC21" s="110"/>
      <c r="AE21" s="1">
        <f>PI()-ACOS(((Z15*Z15)+(Z14*Z14)-(VLOOKUP("D-F",C25:Y44,23,FALSE)*VLOOKUP("D-F",C25:Y44,23,FALSE)))/(2*Z14*Z15))+PI()</f>
        <v>3.5085140636476422</v>
      </c>
      <c r="AF21" s="1">
        <f>PI()-ACOS(((Z15*Z15)+(Z14*Z14)-(VLOOKUP("D-F",C25:Y44,23,FALSE)*VLOOKUP("D-F",C25:Y44,23,FALSE)))/(2*Z14*Z15))</f>
        <v>0.36692141005784906</v>
      </c>
      <c r="AH21" s="1">
        <f>(Z13*SIN(PI()-AE12-AE13))</f>
        <v>-4063.1538760513813</v>
      </c>
      <c r="AM21" s="1">
        <f>IF(G7&gt;4,AG14+AI15,AG14+AI11)</f>
        <v>-1078.4162686017535</v>
      </c>
      <c r="AN21" s="1">
        <f>IF(G7&gt;4,AH14+AJ15,AH10+AJ11)</f>
        <v>-4789.2503841589787</v>
      </c>
      <c r="AV21" s="1"/>
      <c r="AW21" s="1"/>
      <c r="AX21" s="1"/>
      <c r="AY21" s="1"/>
      <c r="AZ21" s="1"/>
      <c r="BA21" s="1"/>
      <c r="BB21" s="1"/>
      <c r="BC21" s="1"/>
      <c r="BD21" s="306" t="s">
        <v>170</v>
      </c>
      <c r="BE21" s="306"/>
      <c r="BF21" s="1"/>
      <c r="BG21" s="1"/>
      <c r="BH21" s="1"/>
      <c r="BI21" s="1"/>
      <c r="BJ21" s="1"/>
      <c r="BK21" s="1"/>
      <c r="BL21" s="1"/>
      <c r="BM21" s="1"/>
      <c r="BN21" s="1"/>
      <c r="BO21" s="1"/>
      <c r="BP21" s="1"/>
      <c r="BQ21" s="1"/>
      <c r="BR21" s="1"/>
      <c r="BS21" s="1"/>
      <c r="BT21" s="1" t="s">
        <v>171</v>
      </c>
      <c r="BU21" s="1"/>
      <c r="BV21" s="1"/>
      <c r="BW21" s="1" t="s">
        <v>172</v>
      </c>
      <c r="BX21" s="1"/>
      <c r="BY21" s="1"/>
      <c r="BZ21" s="1" t="s">
        <v>173</v>
      </c>
      <c r="CA21" s="1"/>
      <c r="CB21" s="1"/>
      <c r="CC21" s="1" t="s">
        <v>174</v>
      </c>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96"/>
      <c r="EA21" s="96"/>
      <c r="EB21" s="96"/>
      <c r="EC21" s="1"/>
      <c r="ED21" s="1"/>
    </row>
    <row r="22" spans="1:134" ht="18" customHeight="1" x14ac:dyDescent="0.25">
      <c r="A22" s="1"/>
      <c r="B22" s="1"/>
      <c r="C22" s="127"/>
      <c r="D22" s="127"/>
      <c r="E22" s="127"/>
      <c r="F22" s="127"/>
      <c r="G22" s="1"/>
      <c r="H22" s="128"/>
      <c r="I22" s="307">
        <f>Print!K25</f>
        <v>0</v>
      </c>
      <c r="J22" s="307"/>
      <c r="K22" s="307"/>
      <c r="L22" s="307"/>
      <c r="M22" s="307"/>
      <c r="N22" s="307"/>
      <c r="O22" s="1"/>
      <c r="P22" s="1"/>
      <c r="Y22" s="110"/>
      <c r="AC22" s="110"/>
      <c r="AE22" s="1">
        <f>VLOOKUP("D-F",C25:Y44,23,FALSE)</f>
        <v>5990</v>
      </c>
      <c r="AM22" s="1">
        <f>AG14</f>
        <v>-1078.4162686017535</v>
      </c>
      <c r="AN22" s="1">
        <f>AH14</f>
        <v>-4789.2503841589787</v>
      </c>
      <c r="AV22" s="1"/>
      <c r="AW22" s="1"/>
      <c r="AX22" s="1"/>
      <c r="AY22" s="1"/>
      <c r="AZ22" s="1" t="s">
        <v>175</v>
      </c>
      <c r="BA22" s="1"/>
      <c r="BB22" s="1" t="s">
        <v>176</v>
      </c>
      <c r="BC22" s="1"/>
      <c r="BD22" s="1">
        <f t="shared" ref="BD22:BD29" si="27">ATAN((BA12-BA11)/(AZ12-AZ11))</f>
        <v>0</v>
      </c>
      <c r="BE22" s="1">
        <f>BD22*180/PI()</f>
        <v>0</v>
      </c>
      <c r="BF22" s="1"/>
      <c r="BG22" s="1">
        <f>IF(BL12="X",HLOOKUP("Y",AZ10:BA19,3,FALSE)-HLOOKUP("Y",AZ10:BA19,2,FALSE),HLOOKUP("X",AZ10:BA19,3,FALSE)-HLOOKUP("X",AZ10:BA19,2,FALSE))</f>
        <v>0</v>
      </c>
      <c r="BH22" s="1">
        <f>BG22/10</f>
        <v>0</v>
      </c>
      <c r="BI22" s="1"/>
      <c r="BJ22" s="1">
        <f>IF(BL13="X",HLOOKUP("Y",AZ10:BA19,4,FALSE)-HLOOKUP("Y",AZ10:BA19,3,FALSE),HLOOKUP("X",AZ10:BA19,4,FALSE)-HLOOKUP("X",AZ10:BA19,3,FALSE))</f>
        <v>2532.0366132723102</v>
      </c>
      <c r="BK22" s="1">
        <f>BJ22/10</f>
        <v>253.20366132723103</v>
      </c>
      <c r="BL22" s="1"/>
      <c r="BM22" s="1">
        <f>IF(BL14="X",HLOOKUP("Y",AZ10:BA19,5,FALSE)-HLOOKUP("Y",AZ10:BA19,4,FALSE),HLOOKUP("X",AZ10:BA19,5,FALSE)-HLOOKUP("X",AZ10:BA19,4,FALSE))</f>
        <v>-4063.1538760513813</v>
      </c>
      <c r="BN22" s="1">
        <f>BM22/10</f>
        <v>-406.31538760513814</v>
      </c>
      <c r="BO22" s="1"/>
      <c r="BP22" s="1">
        <f>IF(BL15="X",HLOOKUP("Y",AZ10:BA19,6,FALSE)-HLOOKUP("Y",AZ10:BA19,5,FALSE),HLOOKUP("X",AZ10:BA19,6,FALSE)-HLOOKUP("X",AZ10:BA19,5,FALSE))</f>
        <v>-2084.9986517465295</v>
      </c>
      <c r="BQ22" s="1">
        <f>BP22/10</f>
        <v>-208.49986517465294</v>
      </c>
      <c r="BR22" s="1"/>
      <c r="BS22" s="1">
        <f>IF(BL16="X",HLOOKUP("Y",AZ10:BA19,7,FALSE)-HLOOKUP("Y",AZ10:BA19,6,FALSE),HLOOKUP("X",AZ10:BA19,7,FALSE)-HLOOKUP("X",AZ10:BA19,6,FALSE))</f>
        <v>-701.91631342001892</v>
      </c>
      <c r="BT22" s="1">
        <f>BS22/10</f>
        <v>-70.191631342001898</v>
      </c>
      <c r="BU22" s="1"/>
      <c r="BV22" s="1">
        <f>IF(BL17="X",HLOOKUP("Y",AZ10:BA19,8,FALSE)-HLOOKUP("Y",AZ10:BA19,7,FALSE),HLOOKUP("X",AZ10:BA19,8,FALSE)-HLOOKUP("X",AZ10:BA19,7,FALSE))</f>
        <v>1780.3325820217724</v>
      </c>
      <c r="BW22" s="1">
        <f>BV22/10</f>
        <v>178.03325820217725</v>
      </c>
      <c r="BX22" s="1"/>
      <c r="BY22" s="1">
        <f>IF(BL18="X",HLOOKUP("Y",AZ10:BA19,9,FALSE)-HLOOKUP("Y",AZ10:BA19,8,FALSE),HLOOKUP("X",AZ10:BA19,9,FALSE)-HLOOKUP("X",AZ10:BA19,8,FALSE))</f>
        <v>0</v>
      </c>
      <c r="BZ22" s="1">
        <f>BY22/10</f>
        <v>0</v>
      </c>
      <c r="CA22" s="1"/>
      <c r="CB22" s="1">
        <f>IF(BL19="X",HLOOKUP("Y",AZ10:BA19,10,FALSE)-HLOOKUP("Y",AZ10:BA19,9,FALSE),HLOOKUP("X",AZ10:BA19,10,FALSE)-HLOOKUP("X",AZ10:BA19,9,FALSE))</f>
        <v>0</v>
      </c>
      <c r="CC22" s="1">
        <f>CB22/10</f>
        <v>0</v>
      </c>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96"/>
      <c r="EA22" s="96"/>
      <c r="EB22" s="96"/>
      <c r="EC22" s="1"/>
      <c r="ED22" s="1"/>
    </row>
    <row r="23" spans="1:134" ht="18" x14ac:dyDescent="0.25">
      <c r="A23" s="1"/>
      <c r="B23" s="1"/>
      <c r="C23" s="266" t="s">
        <v>177</v>
      </c>
      <c r="D23" s="266"/>
      <c r="E23" s="266"/>
      <c r="F23" s="266"/>
      <c r="G23" s="1"/>
      <c r="H23" s="120"/>
      <c r="I23" s="307">
        <f>Print!K26</f>
        <v>0</v>
      </c>
      <c r="J23" s="307"/>
      <c r="K23" s="307"/>
      <c r="L23" s="307"/>
      <c r="M23" s="307"/>
      <c r="N23" s="307"/>
      <c r="O23" s="1"/>
      <c r="P23" s="1"/>
      <c r="Y23" s="110"/>
      <c r="AC23" s="110"/>
      <c r="AM23" s="1">
        <f>AM21</f>
        <v>-1078.4162686017535</v>
      </c>
      <c r="AN23" s="1">
        <f>AN21</f>
        <v>-4789.2503841589787</v>
      </c>
      <c r="AV23" s="1"/>
      <c r="AW23" s="1"/>
      <c r="AX23" s="1"/>
      <c r="AY23" s="1"/>
      <c r="AZ23" s="1">
        <f>IF(ISERROR(BB12*F11),0,BB12*F11)</f>
        <v>218.5</v>
      </c>
      <c r="BA23" s="1"/>
      <c r="BB23" s="110">
        <f>IF(ISERROR(SQRT((BB12*BB12)+((AB11-BD39)*(AB11-BD39)))),0,SQRT((BB12*BB12)+((AB11-BD39)*(AB11-BD39))))</f>
        <v>0</v>
      </c>
      <c r="BC23" s="1"/>
      <c r="BD23" s="1">
        <f t="shared" si="27"/>
        <v>-0.94786479073374541</v>
      </c>
      <c r="BE23" s="1">
        <f t="shared" ref="BE23:BE29" si="28">BD23*180/PI()</f>
        <v>-54.308652058094594</v>
      </c>
      <c r="BF23" s="1"/>
      <c r="BG23" s="1">
        <f>HLOOKUP(BL12,AZ10:BA19,3,FALSE)-HLOOKUP(BL12,AZ10:BA19,2,FALSE)</f>
        <v>4370</v>
      </c>
      <c r="BH23" s="1">
        <f>BG23/10</f>
        <v>437</v>
      </c>
      <c r="BI23" s="1"/>
      <c r="BJ23" s="1">
        <f>HLOOKUP(BL13,AZ10:BA19,4,FALSE)-HLOOKUP(BL13,AZ10:BA19,3,FALSE)</f>
        <v>-3524.8249018991692</v>
      </c>
      <c r="BK23" s="1">
        <f>BJ23/10</f>
        <v>-352.48249018991692</v>
      </c>
      <c r="BL23" s="1"/>
      <c r="BM23" s="1">
        <f>HLOOKUP(BL14,AZ10:BA19,5,FALSE)-HLOOKUP(BL14,AZ10:BA19,4,FALSE)</f>
        <v>-5895.4542301275342</v>
      </c>
      <c r="BN23" s="1">
        <f>BM23/10</f>
        <v>-589.54542301275342</v>
      </c>
      <c r="BO23" s="1"/>
      <c r="BP23" s="1">
        <f>HLOOKUP(BL15,AZ10:BA19,6,FALSE)-HLOOKUP(BL15,AZ10:BA19,5,FALSE)</f>
        <v>2798.7283937915718</v>
      </c>
      <c r="BQ23" s="1">
        <f>BP23/10</f>
        <v>279.8728393791572</v>
      </c>
      <c r="BR23" s="1"/>
      <c r="BS23" s="1">
        <f>HLOOKUP(BL16,AZ10:BA19,7,FALSE)-HLOOKUP(BL16,AZ10:BA19,6,FALSE)</f>
        <v>2503.4603030515282</v>
      </c>
      <c r="BT23" s="1">
        <f>BS23/10</f>
        <v>250.34603030515282</v>
      </c>
      <c r="BU23" s="1"/>
      <c r="BV23" s="1">
        <f>HLOOKUP(BL17,AZ10:BA19,8,FALSE)-HLOOKUP(BL17,AZ10:BA19,7,FALSE)</f>
        <v>2285.7900811074505</v>
      </c>
      <c r="BW23" s="1">
        <f>BV23/10</f>
        <v>228.57900811074506</v>
      </c>
      <c r="BX23" s="1"/>
      <c r="BY23" s="1">
        <f>HLOOKUP(BL18,AZ10:BA19,9,FALSE)-HLOOKUP(BL18,AZ10:BA19,8,FALSE)</f>
        <v>0</v>
      </c>
      <c r="BZ23" s="1">
        <f>BY23/10</f>
        <v>0</v>
      </c>
      <c r="CA23" s="1"/>
      <c r="CB23" s="1">
        <f>HLOOKUP(BL19,AZ10:BA19,10,FALSE)-HLOOKUP(BL19,AZ10:BA19,9,FALSE)</f>
        <v>0</v>
      </c>
      <c r="CC23" s="1">
        <f>CB23/10</f>
        <v>0</v>
      </c>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96"/>
      <c r="EA23" s="96"/>
      <c r="EB23" s="96"/>
      <c r="EC23" s="1"/>
      <c r="ED23" s="1"/>
    </row>
    <row r="24" spans="1:134" ht="18" x14ac:dyDescent="0.25">
      <c r="A24" s="1"/>
      <c r="B24" s="1"/>
      <c r="C24" s="1"/>
      <c r="D24" s="1" t="s">
        <v>178</v>
      </c>
      <c r="E24" s="1"/>
      <c r="F24" s="1"/>
      <c r="G24" s="1"/>
      <c r="H24" s="120"/>
      <c r="I24" s="307">
        <f>Print!K27</f>
        <v>0</v>
      </c>
      <c r="J24" s="307"/>
      <c r="K24" s="307"/>
      <c r="L24" s="307"/>
      <c r="M24" s="307"/>
      <c r="N24" s="307"/>
      <c r="O24" s="1"/>
      <c r="P24" s="1"/>
      <c r="Y24" s="110"/>
      <c r="AE24" s="129" t="s">
        <v>179</v>
      </c>
      <c r="AF24" s="130"/>
      <c r="AG24" s="130" t="s">
        <v>180</v>
      </c>
      <c r="AH24" s="130" t="s">
        <v>181</v>
      </c>
      <c r="AI24" s="130"/>
      <c r="AJ24" s="130"/>
      <c r="AK24" s="131"/>
      <c r="AM24" s="1">
        <f>IF(G7&gt;5,AG15+AI16,AG15+AI11)</f>
        <v>-1780.3325820217724</v>
      </c>
      <c r="AN24" s="1">
        <f>IF(G7&gt;5,AH15+AJ16,AH15+AJ11)</f>
        <v>-2285.7900811074505</v>
      </c>
      <c r="AV24" s="1"/>
      <c r="AW24" s="1"/>
      <c r="AX24" s="1"/>
      <c r="AY24" s="1"/>
      <c r="AZ24" s="1">
        <f t="shared" ref="AZ24:AZ30" si="29">IF(ISERROR(BB13*F12),0,BB13*F12)</f>
        <v>217</v>
      </c>
      <c r="BA24" s="1"/>
      <c r="BB24" s="110">
        <f t="shared" ref="BB24:BB29" si="30">IF(ISERROR(SQRT((BB13*BB13)+((AB12-BD40)*(AB12-BD40)))),0,SQRT((BB13*BB13)+((AB12-BD40)*(AB12-BD40))))</f>
        <v>0</v>
      </c>
      <c r="BC24" s="1"/>
      <c r="BD24" s="1">
        <f t="shared" si="27"/>
        <v>0.60344159121818508</v>
      </c>
      <c r="BE24" s="1">
        <f t="shared" si="28"/>
        <v>34.57465635946069</v>
      </c>
      <c r="BF24" s="1">
        <v>1</v>
      </c>
      <c r="BG24" s="1">
        <f>BG25-BH23</f>
        <v>0</v>
      </c>
      <c r="BH24" s="1">
        <f>IF($BK$12=0,IF($BL$12="X",$BA$11,$AZ$11),IF($AS$34,(SQRT(($BK$12*$BK$12)-((BG24-$BN$12)*(BG24-$BN$12)))+$BM$12),(-SQRT(($BK$12*$BK$12)-((BG24-$BN$12)*(BG24-$BN$12)))+$BM$12)))</f>
        <v>0</v>
      </c>
      <c r="BI24" s="1">
        <v>1</v>
      </c>
      <c r="BJ24" s="1">
        <f>HLOOKUP(BL13,AZ10:BA19,3,FALSE)</f>
        <v>0</v>
      </c>
      <c r="BK24" s="1">
        <f>IF($BK$13=0,IF($BL$13="X",$BA$12,$AZ$12),IF($AT$34,(SQRT(($BK$13*$BK$13)-((BJ24-$BN$13)*(BJ24-$BN$13)))+$BM$13),(-SQRT(($BK$13*$BK$13)-((BJ24-$BN$13)*(BJ24-$BN$13)))+$BM$13)))</f>
        <v>4370</v>
      </c>
      <c r="BL24" s="1">
        <v>1</v>
      </c>
      <c r="BM24" s="1">
        <f>HLOOKUP(BL14,AZ10:BA19,4,FALSE)</f>
        <v>6902.0366132723102</v>
      </c>
      <c r="BN24" s="1">
        <f>IF($BK$14=0,IF($BL$14="X",$BA$13,$AZ$13),IF($AU$34,(SQRT(($BK$14*$BK$14)-((BM24-$BN$14)*(BM24-$BN$14)))+$BM$14),(-SQRT(($BK$14*$BK$14)-((BM24-$BN$14)*(BM24-$BN$14)))+$BM$14)))</f>
        <v>-3524.8249018991701</v>
      </c>
      <c r="BO24" s="1">
        <v>1</v>
      </c>
      <c r="BP24" s="1">
        <f>HLOOKUP(BL15,AZ10:BA19,5,FALSE)</f>
        <v>-7587.9787779505505</v>
      </c>
      <c r="BQ24" s="1">
        <f>IF($BK$15=0,IF(BL15="X",$BA$14,$AZ$14),IF($AV$34,(SQRT(($BK$15*$BK$15)-((BP24-$BN$15)*(BP24-$BN$15)))+$BM$15),(-SQRT(($BK$15*$BK$15)-((BP24-$BN$15)*(BP24-$BN$15)))+$BM$15)))</f>
        <v>1006.5823831447769</v>
      </c>
      <c r="BR24" s="1">
        <v>1</v>
      </c>
      <c r="BS24" s="1">
        <f>HLOOKUP(BL16,AZ10:BA19,6,FALSE)</f>
        <v>-4789.2503841589787</v>
      </c>
      <c r="BT24" s="1">
        <f>IF($BK$16=0,IF(BL16="X",$BA$15,$AZ$15),IF($AW$34,(SQRT(($BK$16*$BK$16)-((BS24-$BN$16)*(BS24-$BN$16)))+$BM$16),(-SQRT(($BK$16*$BK$16)-((BS24-$BN$16)*(BS24-$BN$16)))+$BM$16)))</f>
        <v>-1078.4162686017526</v>
      </c>
      <c r="BU24" s="1">
        <v>1</v>
      </c>
      <c r="BV24" s="1">
        <f>HLOOKUP(BL17,AZ10:BA19,7,FALSE)</f>
        <v>-2285.7900811074505</v>
      </c>
      <c r="BW24" s="1">
        <f>IF($BK$17=0,IF(BL17="X",$BA$16,$AZ$16),IF($AX$34,(SQRT(($BK$17*$BK$17)-((BV24-$BN$17)*(BV24-$BN$17)))+$BM$17),(-SQRT(($BK$17*$BK$17)-((BV24-$BN$17)*(BV24-$BN$17)))+$BM$17)))</f>
        <v>-1780.3325820217742</v>
      </c>
      <c r="BX24" s="1">
        <v>1</v>
      </c>
      <c r="BY24" s="1">
        <f>HLOOKUP(BL18,AZ10:BA19,8,FALSE)</f>
        <v>0</v>
      </c>
      <c r="BZ24" s="1">
        <f>IF($BK$18=0,IF(BL18="X",$BA$17,$AZ$17),IF($AY$34,(SQRT(($BK$18*$BK$18)-((BY24-$BN$18)*(BY24-$BN$18)))+$BM$18),(-SQRT(($BK$18*$BK$18)-((BY24-$BN$18)*(BY24-$BN$18)))+$BM$18)))</f>
        <v>0</v>
      </c>
      <c r="CA24" s="1">
        <v>1</v>
      </c>
      <c r="CB24" s="1">
        <f>HLOOKUP(BL19,AZ10:BA19,9,FALSE)</f>
        <v>0</v>
      </c>
      <c r="CC24" s="1">
        <f>IF($BK$19=0,IF(BL19="X",$BA$18,$AZ$18),IF($AZ$34,(SQRT(($BK$19*$BK$19)-((CB24-$BN$19)*(CB24-$BN$19)))+$BM$19),(-SQRT(($BK$19*$BK$19)-((CB24-$BN$19)*(CB24-$BN$19)))+$BM$19)))</f>
        <v>0</v>
      </c>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96"/>
      <c r="EA24" s="96"/>
      <c r="EB24" s="96"/>
      <c r="EC24" s="1"/>
      <c r="ED24" s="1"/>
    </row>
    <row r="25" spans="1:134" ht="18" x14ac:dyDescent="0.25">
      <c r="A25" s="1"/>
      <c r="B25" s="1">
        <v>1</v>
      </c>
      <c r="C25" s="77" t="str">
        <f>IF(G7&lt;4,"","A-C")</f>
        <v>A-C</v>
      </c>
      <c r="D25" s="104">
        <f>Print!D28</f>
        <v>7750</v>
      </c>
      <c r="E25" s="1"/>
      <c r="F25" s="132"/>
      <c r="G25" s="77"/>
      <c r="H25" s="120"/>
      <c r="I25" s="307">
        <f>Print!K28</f>
        <v>0</v>
      </c>
      <c r="J25" s="307"/>
      <c r="K25" s="307"/>
      <c r="L25" s="307"/>
      <c r="M25" s="307"/>
      <c r="N25" s="307"/>
      <c r="O25" s="1"/>
      <c r="P25" s="1"/>
      <c r="Y25" s="110">
        <f t="shared" ref="Y25:Y44" si="31">SQRT((D25*D25)-(AA25*AA25))</f>
        <v>7750</v>
      </c>
      <c r="AA25" s="1">
        <f t="shared" ref="AA25:AA44" si="32">VLOOKUP(LEFT(C25,1),HEIGHT,2,FALSE)-VLOOKUP(RIGHT(C25,1),HEIGHT,2,FALSE)</f>
        <v>0</v>
      </c>
      <c r="AE25" s="133"/>
      <c r="AG25" s="110">
        <f>MAX(AG11:AG18)-MIN(AG11:AG18)</f>
        <v>8682.3691952940826</v>
      </c>
      <c r="AH25" s="110">
        <f>MAX(AH11:AH18)-MIN(AH11:AH18)</f>
        <v>7587.9787779505505</v>
      </c>
      <c r="AI25" s="1" t="str">
        <f>IF(AG25&gt;AH25,"X","Y")</f>
        <v>X</v>
      </c>
      <c r="AK25" s="134"/>
      <c r="AM25" s="1">
        <f>AG15</f>
        <v>-1780.3325820217724</v>
      </c>
      <c r="AN25" s="1">
        <f>AH15</f>
        <v>-2285.7900811074505</v>
      </c>
      <c r="AV25" s="1"/>
      <c r="AW25" s="1"/>
      <c r="AX25" s="1"/>
      <c r="AY25" s="1"/>
      <c r="AZ25" s="1">
        <f t="shared" si="29"/>
        <v>358</v>
      </c>
      <c r="BA25" s="1"/>
      <c r="BB25" s="110">
        <f t="shared" si="30"/>
        <v>0</v>
      </c>
      <c r="BC25" s="1"/>
      <c r="BD25" s="1">
        <f t="shared" si="27"/>
        <v>-0.93051531378932284</v>
      </c>
      <c r="BE25" s="1">
        <f t="shared" si="28"/>
        <v>-53.314600252419652</v>
      </c>
      <c r="BF25" s="1">
        <v>2</v>
      </c>
      <c r="BG25" s="1">
        <f>HLOOKUP(BL12,AZ10:BA19,2,FALSE)+BH23</f>
        <v>437</v>
      </c>
      <c r="BH25" s="1">
        <f t="shared" ref="BH25:BH35" si="33">IF($BK$12=0,BH24+$BH$22,IF($AS$33,(SQRT(($BK$12*$BK$12)-((BG25-$BN$12)*(BG25-$BN$12)))+$BM$12),(-SQRT(($BK$12*$BK$12)-((BG25-$BN$12)*(BG25-$BN$12)))+$BM$12)))</f>
        <v>-79.164825848800319</v>
      </c>
      <c r="BI25" s="1">
        <v>2</v>
      </c>
      <c r="BJ25" s="1">
        <f>BJ24+$BK$23</f>
        <v>-352.48249018991692</v>
      </c>
      <c r="BK25" s="1">
        <f t="shared" ref="BK25:BK35" si="34">IF($BK$13=0,BK24+$BK$22,IF($AT$33,(SQRT(($BK$13*$BK$13)-((BJ25-$BN$13)*(BJ25-$BN$13)))+$BM$13),(-SQRT(($BK$13*$BK$13)-((BJ25-$BN$13)*(BJ25-$BN$13)))+$BM$13)))</f>
        <v>4536.5375816528212</v>
      </c>
      <c r="BL25" s="1">
        <v>2</v>
      </c>
      <c r="BM25" s="1">
        <f>BM24+$BN$23</f>
        <v>6312.4911902595568</v>
      </c>
      <c r="BN25" s="1">
        <f t="shared" ref="BN25:BN34" si="35">IF($BK$14=0,BN24+$BN$22,IF($AU$33,(SQRT(($BK$14*$BK$14)-((BM25-$BN$14)*(BM25-$BN$14)))+$BM$14),(-SQRT(($BK$14*$BK$14)-((BM25-$BN$14)*(BM25-$BN$14)))+$BM$14)))</f>
        <v>-3789.4994049459638</v>
      </c>
      <c r="BO25" s="1">
        <v>2</v>
      </c>
      <c r="BP25" s="1">
        <f>BP24+$BQ$23</f>
        <v>-7308.1059385713934</v>
      </c>
      <c r="BQ25" s="1">
        <f t="shared" ref="BQ25:BQ34" si="36">IF($BK$15=0,BQ24+$BQ$22,IF($AV$33,(SQRT(($BK$15*$BK$15)-((BP25-$BN$15)*(BP25-$BN$15)))+$BM$15),(-SQRT(($BK$15*$BK$15)-((BP25-$BN$15)*(BP25-$BN$15)))+$BM$15)))</f>
        <v>868.38833356887972</v>
      </c>
      <c r="BR25" s="1">
        <v>2</v>
      </c>
      <c r="BS25" s="1">
        <f>BS24+$BT$23</f>
        <v>-4538.9043538538263</v>
      </c>
      <c r="BT25" s="1">
        <f t="shared" ref="BT25:BT34" si="37">IF($BK$16=0,BT24+$BT$22,IF($AW$33,(SQRT(($BK$16*$BK$16)-((BS25-$BN$16)*(BS25-$BN$16)))+$BM$16),(-SQRT(($BK$16*$BK$16)-((BS25-$BN$16)*(BS25-$BN$16)))+$BM$16)))</f>
        <v>-1101.8095555081827</v>
      </c>
      <c r="BU25" s="1">
        <v>2</v>
      </c>
      <c r="BV25" s="1">
        <f>BV24+$BW$23</f>
        <v>-2057.2110729967053</v>
      </c>
      <c r="BW25" s="1">
        <f t="shared" ref="BW25:BW34" si="38">IF($BK$17=0,BW24+$BW$22,IF($AX$33,(SQRT(($BK$17*$BK$17)-((BV25-$BN$17)*(BV25-$BN$17)))+$BM$17),(-SQRT(($BK$17*$BK$17)-((BV25-$BN$17)*(BV25-$BN$17)))+$BM$17)))</f>
        <v>-1526.4933223048356</v>
      </c>
      <c r="BX25" s="1">
        <v>2</v>
      </c>
      <c r="BY25" s="1">
        <f>BY24+$BZ$23</f>
        <v>0</v>
      </c>
      <c r="BZ25" s="1">
        <f t="shared" ref="BZ25:BZ34" si="39">IF($BK$18=0,BZ24+$BZ$22,IF($AY$33,(SQRT(($BK$18*$BK$18)-((BY25-$BN$18)*(BY25-$BN$18)))+$BM$18),(-SQRT(($BK$18*$BK$18)-((BY25-$BN$18)*(BY25-$BN$18)))+$BM$18)))</f>
        <v>0</v>
      </c>
      <c r="CA25" s="1">
        <v>2</v>
      </c>
      <c r="CB25" s="1">
        <f>CB24+$CC$23</f>
        <v>0</v>
      </c>
      <c r="CC25" s="1">
        <f t="shared" ref="CC25:CC34" si="40">IF($BK$19=0,CC24+$CC$22,IF($AZ$33,(SQRT(($BK$19*$BK$19)-((CB25-$BN$19)*(CB25-$BN$19)))+$BM$19),(-SQRT(($BK$19*$BK$19)-((CB25-$BN$19)*(CB25-$BN$19)))+$BM$19)))</f>
        <v>0</v>
      </c>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96"/>
      <c r="EA25" s="96"/>
      <c r="EB25" s="96"/>
      <c r="EC25" s="1"/>
      <c r="ED25" s="1"/>
    </row>
    <row r="26" spans="1:134" ht="18" x14ac:dyDescent="0.25">
      <c r="A26" s="1"/>
      <c r="B26" s="1">
        <v>2</v>
      </c>
      <c r="C26" s="77" t="str">
        <f>IF(G7=4,"B-D",IF(G7&gt;4,"A-D",""))</f>
        <v>A-D</v>
      </c>
      <c r="D26" s="103">
        <f>Print!D29</f>
        <v>10420</v>
      </c>
      <c r="E26" s="1"/>
      <c r="F26" s="1"/>
      <c r="G26" s="1"/>
      <c r="H26" s="120"/>
      <c r="I26" s="307">
        <f>Print!K29</f>
        <v>0</v>
      </c>
      <c r="J26" s="307"/>
      <c r="K26" s="307"/>
      <c r="L26" s="307"/>
      <c r="M26" s="307"/>
      <c r="N26" s="307"/>
      <c r="O26" s="135"/>
      <c r="P26" s="135"/>
      <c r="Q26" s="136"/>
      <c r="R26" s="136"/>
      <c r="S26" s="136"/>
      <c r="T26" s="136"/>
      <c r="U26" s="136"/>
      <c r="Y26" s="110">
        <f t="shared" si="31"/>
        <v>10420</v>
      </c>
      <c r="AA26" s="1">
        <f t="shared" si="32"/>
        <v>0</v>
      </c>
      <c r="AE26" s="133"/>
      <c r="AG26" s="110" t="s">
        <v>182</v>
      </c>
      <c r="AH26" s="110" t="s">
        <v>183</v>
      </c>
      <c r="AK26" s="134"/>
      <c r="AM26" s="1">
        <f>AM24</f>
        <v>-1780.3325820217724</v>
      </c>
      <c r="AN26" s="1">
        <f>AN24</f>
        <v>-2285.7900811074505</v>
      </c>
      <c r="AV26" s="1"/>
      <c r="AW26" s="1"/>
      <c r="AX26" s="1"/>
      <c r="AY26" s="1"/>
      <c r="AZ26" s="1">
        <f t="shared" si="29"/>
        <v>174.5</v>
      </c>
      <c r="BA26" s="1"/>
      <c r="BB26" s="110">
        <f t="shared" si="30"/>
        <v>0</v>
      </c>
      <c r="BC26" s="1"/>
      <c r="BD26" s="1">
        <f t="shared" si="27"/>
        <v>-1.297436723847172</v>
      </c>
      <c r="BE26" s="1">
        <f t="shared" si="28"/>
        <v>-74.337648461723447</v>
      </c>
      <c r="BF26" s="1">
        <v>3</v>
      </c>
      <c r="BG26" s="1">
        <f>BG25+$BH$23</f>
        <v>874</v>
      </c>
      <c r="BH26" s="1">
        <f t="shared" si="33"/>
        <v>-140.34200684714961</v>
      </c>
      <c r="BI26" s="1">
        <v>3</v>
      </c>
      <c r="BJ26" s="1">
        <f t="shared" ref="BJ26:BJ34" si="41">BJ25+$BK$23</f>
        <v>-704.96498037983383</v>
      </c>
      <c r="BK26" s="1">
        <f t="shared" si="34"/>
        <v>4718.8258653006942</v>
      </c>
      <c r="BL26" s="1">
        <v>3</v>
      </c>
      <c r="BM26" s="1">
        <f t="shared" ref="BM26:BM34" si="42">BM25+$BN$23</f>
        <v>5722.9457672468034</v>
      </c>
      <c r="BN26" s="1">
        <f t="shared" si="35"/>
        <v>-4080.1442824866954</v>
      </c>
      <c r="BO26" s="1">
        <v>3</v>
      </c>
      <c r="BP26" s="1">
        <f t="shared" ref="BP26:BP34" si="43">BP25+$BQ$23</f>
        <v>-7028.2330991922363</v>
      </c>
      <c r="BQ26" s="1">
        <f t="shared" si="36"/>
        <v>717.51949093107123</v>
      </c>
      <c r="BR26" s="1">
        <v>3</v>
      </c>
      <c r="BS26" s="1">
        <f>BS25+$BT$23</f>
        <v>-4288.5583235486738</v>
      </c>
      <c r="BT26" s="1">
        <f t="shared" si="37"/>
        <v>-1134.9359889432053</v>
      </c>
      <c r="BU26" s="1">
        <v>3</v>
      </c>
      <c r="BV26" s="1">
        <f t="shared" ref="BV26:BV34" si="44">BV25+$BW$23</f>
        <v>-1828.6320648859603</v>
      </c>
      <c r="BW26" s="1">
        <f t="shared" si="38"/>
        <v>-1294.8212497302393</v>
      </c>
      <c r="BX26" s="1">
        <v>3</v>
      </c>
      <c r="BY26" s="1">
        <f t="shared" ref="BY26:BY34" si="45">BY25+$BZ$23</f>
        <v>0</v>
      </c>
      <c r="BZ26" s="1">
        <f t="shared" si="39"/>
        <v>0</v>
      </c>
      <c r="CA26" s="1">
        <v>3</v>
      </c>
      <c r="CB26" s="1">
        <f t="shared" ref="CB26:CB34" si="46">CB25+$CC$23</f>
        <v>0</v>
      </c>
      <c r="CC26" s="1">
        <f t="shared" si="40"/>
        <v>0</v>
      </c>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96"/>
      <c r="EA26" s="96"/>
      <c r="EB26" s="96"/>
      <c r="EC26" s="1"/>
      <c r="ED26" s="1"/>
    </row>
    <row r="27" spans="1:134" ht="18" x14ac:dyDescent="0.25">
      <c r="A27" s="1"/>
      <c r="B27" s="1">
        <v>3</v>
      </c>
      <c r="C27" s="77" t="str">
        <f>IF(G7=5,"B-D",IF(G7&gt;5,"A-E",""))</f>
        <v>A-E</v>
      </c>
      <c r="D27" s="103">
        <f>Print!D30</f>
        <v>8280</v>
      </c>
      <c r="E27" s="1"/>
      <c r="F27" s="1"/>
      <c r="G27" s="1"/>
      <c r="H27" s="1"/>
      <c r="I27" s="1"/>
      <c r="J27" s="135"/>
      <c r="K27" s="135"/>
      <c r="L27" s="135"/>
      <c r="M27" s="135"/>
      <c r="N27" s="135"/>
      <c r="O27" s="135"/>
      <c r="P27" s="135"/>
      <c r="Q27" s="136"/>
      <c r="R27" s="136"/>
      <c r="S27" s="136"/>
      <c r="T27" s="136"/>
      <c r="U27" s="136"/>
      <c r="Y27" s="110">
        <f t="shared" si="31"/>
        <v>8280</v>
      </c>
      <c r="Z27" s="110"/>
      <c r="AA27" s="1">
        <f t="shared" si="32"/>
        <v>0</v>
      </c>
      <c r="AE27" s="133"/>
      <c r="AG27" s="110">
        <f>MIN(AG11:AG18)</f>
        <v>-1780.3325820217724</v>
      </c>
      <c r="AH27" s="110">
        <f>MIN(AH11:AH18)</f>
        <v>-7587.9787779505505</v>
      </c>
      <c r="AK27" s="134"/>
      <c r="AM27" s="1">
        <f>IF(G7&gt;6,AG16+AI17,AG16+AI11)</f>
        <v>0</v>
      </c>
      <c r="AN27" s="1">
        <f>IF(G7&gt;6,AH16+AJ17,AH16+AJ11)</f>
        <v>0</v>
      </c>
      <c r="AV27" s="1"/>
      <c r="AW27" s="1"/>
      <c r="AX27" s="1"/>
      <c r="AY27" s="1"/>
      <c r="AZ27" s="1">
        <f t="shared" si="29"/>
        <v>130</v>
      </c>
      <c r="BA27" s="1"/>
      <c r="BB27" s="110">
        <f t="shared" si="30"/>
        <v>0</v>
      </c>
      <c r="BC27" s="1"/>
      <c r="BD27" s="1">
        <f t="shared" si="27"/>
        <v>0.90907318069032095</v>
      </c>
      <c r="BE27" s="1">
        <f t="shared" si="28"/>
        <v>52.086056522089073</v>
      </c>
      <c r="BF27" s="1">
        <v>4</v>
      </c>
      <c r="BG27" s="1">
        <f>BG26+$BH$23</f>
        <v>1311</v>
      </c>
      <c r="BH27" s="1">
        <f t="shared" si="33"/>
        <v>-183.83167670480179</v>
      </c>
      <c r="BI27" s="1">
        <v>4</v>
      </c>
      <c r="BJ27" s="1">
        <f t="shared" si="41"/>
        <v>-1057.4474705697507</v>
      </c>
      <c r="BK27" s="1">
        <f t="shared" si="34"/>
        <v>4917.7770435315597</v>
      </c>
      <c r="BL27" s="1">
        <v>4</v>
      </c>
      <c r="BM27" s="1">
        <f t="shared" si="42"/>
        <v>5133.40034423405</v>
      </c>
      <c r="BN27" s="1">
        <f t="shared" si="35"/>
        <v>-4398.1972628200365</v>
      </c>
      <c r="BO27" s="1">
        <v>4</v>
      </c>
      <c r="BP27" s="1">
        <f t="shared" si="43"/>
        <v>-6748.3602598130792</v>
      </c>
      <c r="BQ27" s="1">
        <f t="shared" si="36"/>
        <v>553.21262794338236</v>
      </c>
      <c r="BR27" s="1">
        <v>4</v>
      </c>
      <c r="BS27" s="1">
        <f>BS26+$BT$23</f>
        <v>-4038.2122932435209</v>
      </c>
      <c r="BT27" s="1">
        <f t="shared" si="37"/>
        <v>-1177.9455903222461</v>
      </c>
      <c r="BU27" s="1">
        <v>4</v>
      </c>
      <c r="BV27" s="1">
        <f t="shared" si="44"/>
        <v>-1600.0530567752153</v>
      </c>
      <c r="BW27" s="1">
        <f t="shared" si="38"/>
        <v>-1082.4965052493353</v>
      </c>
      <c r="BX27" s="1">
        <v>4</v>
      </c>
      <c r="BY27" s="1">
        <f t="shared" si="45"/>
        <v>0</v>
      </c>
      <c r="BZ27" s="1">
        <f t="shared" si="39"/>
        <v>0</v>
      </c>
      <c r="CA27" s="1">
        <v>4</v>
      </c>
      <c r="CB27" s="1">
        <f t="shared" si="46"/>
        <v>0</v>
      </c>
      <c r="CC27" s="1">
        <f t="shared" si="40"/>
        <v>0</v>
      </c>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96"/>
      <c r="EA27" s="96"/>
      <c r="EB27" s="96"/>
      <c r="EC27" s="1"/>
      <c r="ED27" s="1"/>
    </row>
    <row r="28" spans="1:134" ht="18" x14ac:dyDescent="0.25">
      <c r="A28" s="1"/>
      <c r="B28" s="1">
        <v>4</v>
      </c>
      <c r="C28" s="77" t="str">
        <f>IF(G7=5,"B-E",IF(G7=6,"B-D",IF(G7&gt;6,"A-F","")))</f>
        <v>B-D</v>
      </c>
      <c r="D28" s="103">
        <f>Print!D31</f>
        <v>8300</v>
      </c>
      <c r="E28" s="1"/>
      <c r="F28" s="1"/>
      <c r="G28" s="1"/>
      <c r="H28" s="1"/>
      <c r="I28" s="1"/>
      <c r="J28" s="135"/>
      <c r="K28" s="135"/>
      <c r="L28" s="135"/>
      <c r="M28" s="135"/>
      <c r="N28" s="135"/>
      <c r="O28" s="135"/>
      <c r="P28" s="135"/>
      <c r="Q28" s="136"/>
      <c r="R28" s="136"/>
      <c r="S28" s="136"/>
      <c r="T28" s="136"/>
      <c r="U28" s="136"/>
      <c r="Y28" s="110">
        <f t="shared" si="31"/>
        <v>8300</v>
      </c>
      <c r="AA28" s="1">
        <f t="shared" si="32"/>
        <v>0</v>
      </c>
      <c r="AE28" s="133"/>
      <c r="AG28" s="110" t="s">
        <v>184</v>
      </c>
      <c r="AH28" s="110" t="s">
        <v>185</v>
      </c>
      <c r="AK28" s="134"/>
      <c r="AM28" s="1">
        <f>AG16</f>
        <v>0</v>
      </c>
      <c r="AN28" s="1">
        <f>AH16</f>
        <v>0</v>
      </c>
      <c r="AV28" s="1"/>
      <c r="AW28" s="1"/>
      <c r="AX28" s="1"/>
      <c r="AY28" s="1"/>
      <c r="AZ28" s="1">
        <f t="shared" si="29"/>
        <v>144.86563082299332</v>
      </c>
      <c r="BA28" s="1"/>
      <c r="BB28" s="110">
        <f t="shared" si="30"/>
        <v>0</v>
      </c>
      <c r="BC28" s="1"/>
      <c r="BD28" s="1" t="e">
        <f t="shared" si="27"/>
        <v>#DIV/0!</v>
      </c>
      <c r="BE28" s="1" t="e">
        <f t="shared" si="28"/>
        <v>#DIV/0!</v>
      </c>
      <c r="BF28" s="1">
        <v>5</v>
      </c>
      <c r="BG28" s="1">
        <f t="shared" ref="BG28:BG34" si="47">BG27+$BH$23</f>
        <v>1748</v>
      </c>
      <c r="BH28" s="1">
        <f t="shared" si="33"/>
        <v>-209.84313880663831</v>
      </c>
      <c r="BI28" s="1">
        <v>5</v>
      </c>
      <c r="BJ28" s="1">
        <f t="shared" si="41"/>
        <v>-1409.9299607596677</v>
      </c>
      <c r="BK28" s="1">
        <f t="shared" si="34"/>
        <v>5134.4690781232202</v>
      </c>
      <c r="BL28" s="1">
        <v>5</v>
      </c>
      <c r="BM28" s="1">
        <f t="shared" si="42"/>
        <v>4543.8549212212965</v>
      </c>
      <c r="BN28" s="1">
        <f t="shared" si="35"/>
        <v>-4745.3561607988922</v>
      </c>
      <c r="BO28" s="1">
        <v>5</v>
      </c>
      <c r="BP28" s="1">
        <f t="shared" si="43"/>
        <v>-6468.4874204339221</v>
      </c>
      <c r="BQ28" s="1">
        <f t="shared" si="36"/>
        <v>374.56503678525132</v>
      </c>
      <c r="BR28" s="1">
        <v>5</v>
      </c>
      <c r="BS28" s="1">
        <f t="shared" ref="BS28:BS34" si="48">BS27+$BT$23</f>
        <v>-3787.866262938368</v>
      </c>
      <c r="BT28" s="1">
        <f t="shared" si="37"/>
        <v>-1231.0377830905245</v>
      </c>
      <c r="BU28" s="1">
        <v>5</v>
      </c>
      <c r="BV28" s="1">
        <f t="shared" si="44"/>
        <v>-1371.4740486644703</v>
      </c>
      <c r="BW28" s="1">
        <f t="shared" si="38"/>
        <v>-887.34138879882084</v>
      </c>
      <c r="BX28" s="1">
        <v>5</v>
      </c>
      <c r="BY28" s="1">
        <f t="shared" si="45"/>
        <v>0</v>
      </c>
      <c r="BZ28" s="1">
        <f t="shared" si="39"/>
        <v>0</v>
      </c>
      <c r="CA28" s="1">
        <v>5</v>
      </c>
      <c r="CB28" s="1">
        <f t="shared" si="46"/>
        <v>0</v>
      </c>
      <c r="CC28" s="1">
        <f t="shared" si="40"/>
        <v>0</v>
      </c>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96"/>
      <c r="EA28" s="96"/>
      <c r="EB28" s="96"/>
      <c r="EC28" s="1"/>
      <c r="ED28" s="1"/>
    </row>
    <row r="29" spans="1:134" ht="18" x14ac:dyDescent="0.25">
      <c r="A29" s="1"/>
      <c r="B29" s="1">
        <v>5</v>
      </c>
      <c r="C29" s="77" t="str">
        <f>IF(G7=5,"C-E",IF(G7=6,"B-E",IF(G7=7,"B-D",IF(G7=8,"A-G",""))))</f>
        <v>B-E</v>
      </c>
      <c r="D29" s="103">
        <f>Print!D32</f>
        <v>7390</v>
      </c>
      <c r="E29" s="1"/>
      <c r="F29" s="1"/>
      <c r="G29" s="1"/>
      <c r="H29" s="1"/>
      <c r="I29" s="1"/>
      <c r="J29" s="135"/>
      <c r="K29" s="135"/>
      <c r="L29" s="135"/>
      <c r="M29" s="135"/>
      <c r="N29" s="135"/>
      <c r="O29" s="135"/>
      <c r="P29" s="135"/>
      <c r="Q29" s="136"/>
      <c r="R29" s="136"/>
      <c r="S29" s="136"/>
      <c r="T29" s="136"/>
      <c r="U29" s="136"/>
      <c r="Y29" s="110">
        <f t="shared" si="31"/>
        <v>7390</v>
      </c>
      <c r="AA29" s="1">
        <f t="shared" si="32"/>
        <v>0</v>
      </c>
      <c r="AE29" s="133"/>
      <c r="AG29" s="110">
        <f>MAX(AG11:AG18)</f>
        <v>6902.0366132723102</v>
      </c>
      <c r="AH29" s="110">
        <f>MAX(AH11:AH18)</f>
        <v>0</v>
      </c>
      <c r="AK29" s="134"/>
      <c r="AM29" s="1">
        <f>AM27</f>
        <v>0</v>
      </c>
      <c r="AN29" s="1">
        <f>AN27</f>
        <v>0</v>
      </c>
      <c r="AV29" s="1"/>
      <c r="AW29" s="1"/>
      <c r="AX29" s="1"/>
      <c r="AY29" s="1"/>
      <c r="AZ29" s="1">
        <f t="shared" si="29"/>
        <v>0</v>
      </c>
      <c r="BA29" s="1"/>
      <c r="BB29" s="110">
        <f t="shared" si="30"/>
        <v>0</v>
      </c>
      <c r="BC29" s="1"/>
      <c r="BD29" s="1" t="e">
        <f t="shared" si="27"/>
        <v>#DIV/0!</v>
      </c>
      <c r="BE29" s="1" t="e">
        <f t="shared" si="28"/>
        <v>#DIV/0!</v>
      </c>
      <c r="BF29" s="1">
        <v>6</v>
      </c>
      <c r="BG29" s="1">
        <f t="shared" si="47"/>
        <v>2185</v>
      </c>
      <c r="BH29" s="1">
        <f t="shared" si="33"/>
        <v>-218.5</v>
      </c>
      <c r="BI29" s="1">
        <v>6</v>
      </c>
      <c r="BJ29" s="1">
        <f t="shared" si="41"/>
        <v>-1762.4124509495846</v>
      </c>
      <c r="BK29" s="1">
        <f t="shared" si="34"/>
        <v>5370.1847691207204</v>
      </c>
      <c r="BL29" s="1">
        <v>6</v>
      </c>
      <c r="BM29" s="1">
        <f t="shared" si="42"/>
        <v>3954.3094982085431</v>
      </c>
      <c r="BN29" s="1">
        <f t="shared" si="35"/>
        <v>-5123.6384866964127</v>
      </c>
      <c r="BO29" s="1">
        <v>6</v>
      </c>
      <c r="BP29" s="1">
        <f t="shared" si="43"/>
        <v>-6188.614581054765</v>
      </c>
      <c r="BQ29" s="1">
        <f t="shared" si="36"/>
        <v>180.50084740367402</v>
      </c>
      <c r="BR29" s="1">
        <v>6</v>
      </c>
      <c r="BS29" s="1">
        <f t="shared" si="48"/>
        <v>-3537.5202326332151</v>
      </c>
      <c r="BT29" s="1">
        <f t="shared" si="37"/>
        <v>-1294.4662231434631</v>
      </c>
      <c r="BU29" s="1">
        <v>6</v>
      </c>
      <c r="BV29" s="1">
        <f t="shared" si="44"/>
        <v>-1142.8950405537253</v>
      </c>
      <c r="BW29" s="1">
        <f t="shared" si="38"/>
        <v>-707.63433513169639</v>
      </c>
      <c r="BX29" s="1">
        <v>6</v>
      </c>
      <c r="BY29" s="1">
        <f t="shared" si="45"/>
        <v>0</v>
      </c>
      <c r="BZ29" s="1">
        <f t="shared" si="39"/>
        <v>0</v>
      </c>
      <c r="CA29" s="1">
        <v>6</v>
      </c>
      <c r="CB29" s="1">
        <f t="shared" si="46"/>
        <v>0</v>
      </c>
      <c r="CC29" s="1">
        <f t="shared" si="40"/>
        <v>0</v>
      </c>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96"/>
      <c r="EA29" s="96"/>
      <c r="EB29" s="96"/>
      <c r="EC29" s="1"/>
      <c r="ED29" s="1"/>
    </row>
    <row r="30" spans="1:134" ht="18" x14ac:dyDescent="0.25">
      <c r="A30" s="1"/>
      <c r="B30" s="1">
        <v>6</v>
      </c>
      <c r="C30" s="77" t="str">
        <f>IF(G7=6,"B-F",IF(G7=7,"B-E",IF(G7=8,"B-D","")))</f>
        <v>B-F</v>
      </c>
      <c r="D30" s="103">
        <f>Print!D33</f>
        <v>8020</v>
      </c>
      <c r="E30" s="1"/>
      <c r="F30" s="1"/>
      <c r="G30" s="1"/>
      <c r="H30" s="1"/>
      <c r="I30" s="1"/>
      <c r="J30" s="1"/>
      <c r="K30" s="1"/>
      <c r="L30" s="1"/>
      <c r="M30" s="1"/>
      <c r="N30" s="1"/>
      <c r="O30" s="1"/>
      <c r="P30" s="1"/>
      <c r="Y30" s="110">
        <f t="shared" si="31"/>
        <v>8020</v>
      </c>
      <c r="Z30" s="110"/>
      <c r="AA30" s="1">
        <f t="shared" si="32"/>
        <v>0</v>
      </c>
      <c r="AE30" s="133"/>
      <c r="AJ30" s="1" t="s">
        <v>158</v>
      </c>
      <c r="AK30" s="134">
        <v>0.73333333000000001</v>
      </c>
      <c r="AM30" s="1">
        <f>IF(G7&gt;7,AG17+AI18,AG17+AI11)</f>
        <v>0</v>
      </c>
      <c r="AN30" s="1">
        <f>IF(G7&gt;7,AH17+AJ18,AH17+AJ11)</f>
        <v>0</v>
      </c>
      <c r="AV30" s="1"/>
      <c r="AW30" s="1"/>
      <c r="AX30" s="1"/>
      <c r="AY30" s="1"/>
      <c r="AZ30" s="1">
        <f t="shared" si="29"/>
        <v>0</v>
      </c>
      <c r="BA30" s="1"/>
      <c r="BB30" s="110">
        <f>IF(ISERROR(SQRT((BB19*BB19)+((AB18-BD46)*(AB18-BD46)))),0,SQRT((BB19*BB19)+((AB18-BD46)*(AB18-BD46))))</f>
        <v>0</v>
      </c>
      <c r="BC30" s="1"/>
      <c r="BD30" s="1"/>
      <c r="BE30" s="1"/>
      <c r="BF30" s="1">
        <v>7</v>
      </c>
      <c r="BG30" s="1">
        <f t="shared" si="47"/>
        <v>2622</v>
      </c>
      <c r="BH30" s="1">
        <f t="shared" si="33"/>
        <v>-209.84313880663831</v>
      </c>
      <c r="BI30" s="1">
        <v>7</v>
      </c>
      <c r="BJ30" s="1">
        <f t="shared" si="41"/>
        <v>-2114.8949411395015</v>
      </c>
      <c r="BK30" s="1">
        <f t="shared" si="34"/>
        <v>5626.4643173117765</v>
      </c>
      <c r="BL30" s="1">
        <v>7</v>
      </c>
      <c r="BM30" s="1">
        <f>BM29+$BN$23</f>
        <v>3364.7640751957897</v>
      </c>
      <c r="BN30" s="1">
        <f t="shared" si="35"/>
        <v>-5535.4612230184321</v>
      </c>
      <c r="BO30" s="1">
        <v>7</v>
      </c>
      <c r="BP30" s="1">
        <f t="shared" si="43"/>
        <v>-5908.741741675608</v>
      </c>
      <c r="BQ30" s="1">
        <f t="shared" si="36"/>
        <v>-30.274508850561688</v>
      </c>
      <c r="BR30" s="1">
        <v>7</v>
      </c>
      <c r="BS30" s="1">
        <f t="shared" si="48"/>
        <v>-3287.1742023280622</v>
      </c>
      <c r="BT30" s="1">
        <f t="shared" si="37"/>
        <v>-1368.5452496563412</v>
      </c>
      <c r="BU30" s="1">
        <v>7</v>
      </c>
      <c r="BV30" s="1">
        <f t="shared" si="44"/>
        <v>-914.31603244298026</v>
      </c>
      <c r="BW30" s="1">
        <f t="shared" si="38"/>
        <v>-541.98839432196201</v>
      </c>
      <c r="BX30" s="1">
        <v>7</v>
      </c>
      <c r="BY30" s="1">
        <f t="shared" si="45"/>
        <v>0</v>
      </c>
      <c r="BZ30" s="1">
        <f t="shared" si="39"/>
        <v>0</v>
      </c>
      <c r="CA30" s="1">
        <v>7</v>
      </c>
      <c r="CB30" s="1">
        <f t="shared" si="46"/>
        <v>0</v>
      </c>
      <c r="CC30" s="1">
        <f t="shared" si="40"/>
        <v>0</v>
      </c>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96"/>
      <c r="EA30" s="96"/>
      <c r="EB30" s="96"/>
      <c r="EC30" s="1"/>
      <c r="ED30" s="1"/>
    </row>
    <row r="31" spans="1:134" ht="18" x14ac:dyDescent="0.25">
      <c r="A31" s="1"/>
      <c r="B31" s="1">
        <v>7</v>
      </c>
      <c r="C31" s="77" t="str">
        <f>IF(G7=6,"C-E",IF(G7=7,"B-F",IF(G7=8,"B-E","")))</f>
        <v>C-E</v>
      </c>
      <c r="D31" s="103">
        <f>Print!D34</f>
        <v>8080</v>
      </c>
      <c r="E31" s="1"/>
      <c r="F31" s="1"/>
      <c r="G31" s="1"/>
      <c r="H31" s="1"/>
      <c r="I31" s="1"/>
      <c r="J31" s="1"/>
      <c r="K31" s="1"/>
      <c r="L31" s="1"/>
      <c r="M31" s="1"/>
      <c r="N31" s="1"/>
      <c r="O31" s="1"/>
      <c r="P31" s="1"/>
      <c r="Y31" s="110">
        <f t="shared" si="31"/>
        <v>8080</v>
      </c>
      <c r="Z31" s="110"/>
      <c r="AA31" s="1">
        <f t="shared" si="32"/>
        <v>0</v>
      </c>
      <c r="AE31" s="133"/>
      <c r="AJ31" s="1" t="s">
        <v>159</v>
      </c>
      <c r="AK31" s="134">
        <v>1.363636364</v>
      </c>
      <c r="AM31" s="1">
        <f>AG17</f>
        <v>0</v>
      </c>
      <c r="AN31" s="1">
        <f>AH17</f>
        <v>0</v>
      </c>
      <c r="AV31" s="1"/>
      <c r="AW31" s="1"/>
      <c r="AX31" s="1"/>
      <c r="AY31" s="1"/>
      <c r="AZ31" s="1"/>
      <c r="BA31" s="1"/>
      <c r="BB31" s="1"/>
      <c r="BC31" s="1"/>
      <c r="BD31" s="1"/>
      <c r="BE31" s="1"/>
      <c r="BF31" s="1">
        <v>8</v>
      </c>
      <c r="BG31" s="1">
        <f>BG30+$BH$23</f>
        <v>3059</v>
      </c>
      <c r="BH31" s="1">
        <f t="shared" si="33"/>
        <v>-183.83167670480179</v>
      </c>
      <c r="BI31" s="1">
        <v>8</v>
      </c>
      <c r="BJ31" s="1">
        <f t="shared" si="41"/>
        <v>-2467.3774313294184</v>
      </c>
      <c r="BK31" s="1">
        <f t="shared" si="34"/>
        <v>5905.1774976045726</v>
      </c>
      <c r="BL31" s="1">
        <v>8</v>
      </c>
      <c r="BM31" s="1">
        <f t="shared" si="42"/>
        <v>2775.2186521830363</v>
      </c>
      <c r="BN31" s="1">
        <f t="shared" si="35"/>
        <v>-5983.7496818640047</v>
      </c>
      <c r="BO31" s="1">
        <v>8</v>
      </c>
      <c r="BP31" s="1">
        <f t="shared" si="43"/>
        <v>-5628.8689022964509</v>
      </c>
      <c r="BQ31" s="1">
        <f t="shared" si="36"/>
        <v>-259.33718930772648</v>
      </c>
      <c r="BR31" s="1">
        <v>8</v>
      </c>
      <c r="BS31" s="1">
        <f t="shared" si="48"/>
        <v>-3036.8281720229093</v>
      </c>
      <c r="BT31" s="1">
        <f t="shared" si="37"/>
        <v>-1453.6583632682241</v>
      </c>
      <c r="BU31" s="1">
        <v>8</v>
      </c>
      <c r="BV31" s="1">
        <f t="shared" si="44"/>
        <v>-685.73702433223525</v>
      </c>
      <c r="BW31" s="1">
        <f t="shared" si="38"/>
        <v>-389.26880118753616</v>
      </c>
      <c r="BX31" s="1">
        <v>8</v>
      </c>
      <c r="BY31" s="1">
        <f t="shared" si="45"/>
        <v>0</v>
      </c>
      <c r="BZ31" s="1">
        <f t="shared" si="39"/>
        <v>0</v>
      </c>
      <c r="CA31" s="1">
        <v>8</v>
      </c>
      <c r="CB31" s="1">
        <f t="shared" si="46"/>
        <v>0</v>
      </c>
      <c r="CC31" s="1">
        <f t="shared" si="40"/>
        <v>0</v>
      </c>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96"/>
      <c r="EA31" s="96"/>
      <c r="EB31" s="96"/>
      <c r="EC31" s="1"/>
      <c r="ED31" s="1"/>
    </row>
    <row r="32" spans="1:134" ht="18" x14ac:dyDescent="0.25">
      <c r="A32" s="1"/>
      <c r="B32" s="1">
        <v>8</v>
      </c>
      <c r="C32" s="77" t="str">
        <f>IF(G7=6,"C-F",IF(G7=7,"B-G",IF(G7=8,"B-F","")))</f>
        <v>C-F</v>
      </c>
      <c r="D32" s="103">
        <f>Print!D35</f>
        <v>9570</v>
      </c>
      <c r="E32" s="1"/>
      <c r="F32" s="1"/>
      <c r="G32" s="1"/>
      <c r="H32" s="1"/>
      <c r="I32" s="1"/>
      <c r="J32" s="1"/>
      <c r="K32" s="1"/>
      <c r="L32" s="1"/>
      <c r="M32" s="1"/>
      <c r="N32" s="1"/>
      <c r="O32" s="1"/>
      <c r="P32" s="1"/>
      <c r="U32" s="52"/>
      <c r="Y32" s="110">
        <f t="shared" si="31"/>
        <v>9570</v>
      </c>
      <c r="AA32" s="1">
        <f t="shared" si="32"/>
        <v>0</v>
      </c>
      <c r="AE32" s="133"/>
      <c r="AI32" s="110"/>
      <c r="AJ32" s="1" t="s">
        <v>186</v>
      </c>
      <c r="AK32" s="134">
        <f>IF(AI25="X",AK30,AK31)</f>
        <v>0.73333333000000001</v>
      </c>
      <c r="AM32" s="1">
        <f>AM30</f>
        <v>0</v>
      </c>
      <c r="AN32" s="1">
        <f>AN30</f>
        <v>0</v>
      </c>
      <c r="AS32" s="1">
        <v>1</v>
      </c>
      <c r="AT32" s="1">
        <v>2</v>
      </c>
      <c r="AU32" s="1">
        <v>3</v>
      </c>
      <c r="AV32" s="137">
        <v>4</v>
      </c>
      <c r="AW32" s="137">
        <v>5</v>
      </c>
      <c r="AX32" s="137">
        <v>6</v>
      </c>
      <c r="AY32" s="137">
        <v>7</v>
      </c>
      <c r="AZ32" s="1">
        <v>8</v>
      </c>
      <c r="BA32" s="137"/>
      <c r="BB32" s="137"/>
      <c r="BC32" s="137"/>
      <c r="BD32" s="137"/>
      <c r="BE32" s="1"/>
      <c r="BF32" s="1">
        <v>9</v>
      </c>
      <c r="BG32" s="1">
        <f t="shared" si="47"/>
        <v>3496</v>
      </c>
      <c r="BH32" s="1">
        <f t="shared" si="33"/>
        <v>-140.34200684714961</v>
      </c>
      <c r="BI32" s="1">
        <v>9</v>
      </c>
      <c r="BJ32" s="1">
        <f t="shared" si="41"/>
        <v>-2819.8599215193353</v>
      </c>
      <c r="BK32" s="1">
        <f t="shared" si="34"/>
        <v>6208.6251601542444</v>
      </c>
      <c r="BL32" s="1">
        <v>9</v>
      </c>
      <c r="BM32" s="1">
        <f t="shared" si="42"/>
        <v>2185.6732291702829</v>
      </c>
      <c r="BN32" s="1">
        <f t="shared" si="35"/>
        <v>-6472.0894607271293</v>
      </c>
      <c r="BO32" s="1">
        <v>9</v>
      </c>
      <c r="BP32" s="1">
        <f t="shared" si="43"/>
        <v>-5348.9960629172938</v>
      </c>
      <c r="BQ32" s="1">
        <f t="shared" si="36"/>
        <v>-508.63399769558691</v>
      </c>
      <c r="BR32" s="1">
        <v>9</v>
      </c>
      <c r="BS32" s="1">
        <f t="shared" si="48"/>
        <v>-2786.4821417177563</v>
      </c>
      <c r="BT32" s="1">
        <f t="shared" si="37"/>
        <v>-1550.2693089098211</v>
      </c>
      <c r="BU32" s="1">
        <v>9</v>
      </c>
      <c r="BV32" s="1">
        <f t="shared" si="44"/>
        <v>-457.15801622149019</v>
      </c>
      <c r="BW32" s="1">
        <f t="shared" si="38"/>
        <v>-248.53527981654588</v>
      </c>
      <c r="BX32" s="1">
        <v>9</v>
      </c>
      <c r="BY32" s="1">
        <f t="shared" si="45"/>
        <v>0</v>
      </c>
      <c r="BZ32" s="1">
        <f t="shared" si="39"/>
        <v>0</v>
      </c>
      <c r="CA32" s="1">
        <v>9</v>
      </c>
      <c r="CB32" s="1">
        <f t="shared" si="46"/>
        <v>0</v>
      </c>
      <c r="CC32" s="1">
        <f t="shared" si="40"/>
        <v>0</v>
      </c>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96"/>
      <c r="EA32" s="96"/>
      <c r="EB32" s="96"/>
      <c r="EC32" s="1"/>
      <c r="ED32" s="1"/>
    </row>
    <row r="33" spans="1:134" ht="18" x14ac:dyDescent="0.25">
      <c r="A33" s="1"/>
      <c r="B33" s="1">
        <v>9</v>
      </c>
      <c r="C33" s="77" t="str">
        <f>IF(G7=6,"D-F",IF(G7=7,"C-E",IF(G7=8,"B-G","")))</f>
        <v>D-F</v>
      </c>
      <c r="D33" s="103">
        <f>Print!D36</f>
        <v>5990</v>
      </c>
      <c r="E33" s="1"/>
      <c r="F33" s="1"/>
      <c r="G33" s="1"/>
      <c r="H33" s="1"/>
      <c r="I33" s="1"/>
      <c r="J33" s="1"/>
      <c r="K33" s="1"/>
      <c r="L33" s="1"/>
      <c r="M33" s="1"/>
      <c r="N33" s="1"/>
      <c r="O33" s="1"/>
      <c r="P33" s="1"/>
      <c r="Y33" s="110">
        <f t="shared" si="31"/>
        <v>5990</v>
      </c>
      <c r="AA33" s="1">
        <f t="shared" si="32"/>
        <v>0</v>
      </c>
      <c r="AE33" s="133" t="s">
        <v>187</v>
      </c>
      <c r="AF33" s="1" t="s">
        <v>188</v>
      </c>
      <c r="AG33" s="1" t="s">
        <v>189</v>
      </c>
      <c r="AJ33" s="1" t="s">
        <v>188</v>
      </c>
      <c r="AK33" s="134" t="s">
        <v>189</v>
      </c>
      <c r="AM33" s="1">
        <f>IF(G7&gt;8,AG18+AI19,AG18+AI11)</f>
        <v>0</v>
      </c>
      <c r="AN33" s="1">
        <f>IF(G7&gt;8,AH18+AJ19,AH18+AJ11)</f>
        <v>0</v>
      </c>
      <c r="AS33" s="1" t="b">
        <f>OR(ROUND(SQRT(($BK$12*$BK$12)-(($BG$24-$BN$12)*($BG$24-$BN$12)))+$BM$12,0)=ROUND($AZ$11,0),ROUND(SQRT(($BK$12*$BK$12)-(($BG$24-$BN$12)*($BG$24-$BN$12)))+$BM$12,0)=ROUND($BA$11,0))</f>
        <v>0</v>
      </c>
      <c r="AT33" s="1" t="b">
        <f>OR(ROUND(SQRT(($BK$13*$BK$13)-(($BJ$24-$BN$13)*($BJ$24-$BN$13)))+$BM$13,0)=ROUND($AZ$12,0),ROUND(SQRT(($BK$13*$BK$13)-(($BJ$24-$BN$13)*($BJ$24-$BN$13)))+$BM$13,0)=ROUND($BA$12,0))</f>
        <v>0</v>
      </c>
      <c r="AU33" s="1" t="b">
        <f>OR(ROUND(SQRT(($BK$14*$BK$14)-(($BM$24-$BN$14)*($BM$24-$BN$14)))+$BM$14,0)=ROUND($AZ$13,0),ROUND(SQRT(($BK$14*$BK$14)-(($BM$24-$BN$14)*($BM$24-$BN$14)))+$BM$14,0)=ROUND($BA$13,0))</f>
        <v>1</v>
      </c>
      <c r="AV33" s="137" t="b">
        <f>OR(ROUND(SQRT(($BK$15*$BK$15)-(($BP$24-$BN$15)*($BP$24-$BN$15)))+$BM$15,0)=ROUND($AZ$14,0),ROUND(SQRT(($BK$15*$BK$15)-(($BP$24-$BN$15)*($BP$24-$BN$15)))+$BM$15,0)=ROUND($BA$14,0))</f>
        <v>1</v>
      </c>
      <c r="AW33" s="137" t="b">
        <f>OR(ROUND(SQRT(($BK$16*$BK$16)-(($BS$24-$BN$16)*($BS$24-$BN$16)))+$BM$16,0)=ROUND($AZ$15,0),ROUND(SQRT(($BK$16*$BK$16)-(($BS$24-$BN$16)*($BS$24-$BN$16)))+$BM$16,0)=ROUND($BA$15,0))</f>
        <v>1</v>
      </c>
      <c r="AX33" s="137" t="b">
        <f>OR(ROUND(SQRT(($BK$17*$BK$17)-(($BV$24-$BN$17)*($BV$24-$BN$17)))+$BM$17,0)=ROUND($AZ$16,0),ROUND(SQRT(($BK$17*$BK$17)-(($BV$24-$BN$17)*($BV$24-$BN$17)))+$BM$17,0)=ROUND($BA$16,0))</f>
        <v>1</v>
      </c>
      <c r="AY33" s="137" t="e">
        <f>OR(ROUND(SQRT(($BK$18*$BK$18)-(($BY$24-$BN$18)*($BY$24-$BN$18)))+$BM$18,0)=ROUND($AZ$17,0),ROUND(SQRT(($BK$18*$BK$18)-(($BY$24-$BN$18)*($BY$24-$BN$18)))+$BM$18,0)=ROUND($BA$17,0))</f>
        <v>#DIV/0!</v>
      </c>
      <c r="AZ33" s="137" t="e">
        <f>OR(ROUND(SQRT(($BK$19*$BK$19)-(($CB$24-$BN$19)*($CB$24-$BN$19)))+$BM$19,0)=ROUND($AZ$18,0),ROUND(SQRT(($BK$19*$BK$19)-(($CB$24-$BN$19)*($CB$24-$BN$19)))+$BM$19,0)=ROUND($BA$18,0))</f>
        <v>#DIV/0!</v>
      </c>
      <c r="BA33" s="137"/>
      <c r="BB33" s="137"/>
      <c r="BC33" s="137"/>
      <c r="BD33" s="137"/>
      <c r="BE33" s="1"/>
      <c r="BF33" s="1">
        <v>10</v>
      </c>
      <c r="BG33" s="1">
        <f t="shared" si="47"/>
        <v>3933</v>
      </c>
      <c r="BH33" s="1">
        <f t="shared" si="33"/>
        <v>-79.164825848802138</v>
      </c>
      <c r="BI33" s="1">
        <v>10</v>
      </c>
      <c r="BJ33" s="1">
        <f t="shared" si="41"/>
        <v>-3172.3424117092522</v>
      </c>
      <c r="BK33" s="1">
        <f t="shared" si="34"/>
        <v>6539.6860684426283</v>
      </c>
      <c r="BL33" s="1">
        <v>10</v>
      </c>
      <c r="BM33" s="1">
        <f t="shared" si="42"/>
        <v>1596.1278061575294</v>
      </c>
      <c r="BN33" s="1">
        <f t="shared" si="35"/>
        <v>-7004.9443277543633</v>
      </c>
      <c r="BO33" s="1">
        <v>10</v>
      </c>
      <c r="BP33" s="1">
        <f t="shared" si="43"/>
        <v>-5069.1232235381367</v>
      </c>
      <c r="BQ33" s="1">
        <f t="shared" si="36"/>
        <v>-780.61228608225247</v>
      </c>
      <c r="BR33" s="1">
        <v>10</v>
      </c>
      <c r="BS33" s="1">
        <f t="shared" si="48"/>
        <v>-2536.1361114126034</v>
      </c>
      <c r="BT33" s="1">
        <f t="shared" si="37"/>
        <v>-1658.9365868992354</v>
      </c>
      <c r="BU33" s="1">
        <v>10</v>
      </c>
      <c r="BV33" s="1">
        <f t="shared" si="44"/>
        <v>-228.57900811074512</v>
      </c>
      <c r="BW33" s="1">
        <f t="shared" si="38"/>
        <v>-119.0005798141683</v>
      </c>
      <c r="BX33" s="1">
        <v>10</v>
      </c>
      <c r="BY33" s="1">
        <f t="shared" si="45"/>
        <v>0</v>
      </c>
      <c r="BZ33" s="1">
        <f t="shared" si="39"/>
        <v>0</v>
      </c>
      <c r="CA33" s="1">
        <v>10</v>
      </c>
      <c r="CB33" s="1">
        <f t="shared" si="46"/>
        <v>0</v>
      </c>
      <c r="CC33" s="1">
        <f t="shared" si="40"/>
        <v>0</v>
      </c>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96"/>
      <c r="EA33" s="96"/>
      <c r="EB33" s="96"/>
      <c r="EC33" s="1"/>
      <c r="ED33" s="1"/>
    </row>
    <row r="34" spans="1:134" ht="18" x14ac:dyDescent="0.25">
      <c r="A34" s="1"/>
      <c r="B34" s="1">
        <v>10</v>
      </c>
      <c r="C34" s="77" t="str">
        <f>IF(G7=7,"C-F",IF(G7=8,"B-H",""))</f>
        <v/>
      </c>
      <c r="D34" s="103" t="str">
        <f>Print!D37</f>
        <v>-</v>
      </c>
      <c r="E34" s="1"/>
      <c r="F34" s="1"/>
      <c r="G34" s="1"/>
      <c r="H34" s="1"/>
      <c r="I34" s="1"/>
      <c r="J34" s="1"/>
      <c r="K34" s="1"/>
      <c r="L34" s="1"/>
      <c r="M34" s="1"/>
      <c r="N34" s="1"/>
      <c r="O34" s="1"/>
      <c r="P34" s="1"/>
      <c r="Y34" s="110" t="e">
        <f t="shared" si="31"/>
        <v>#VALUE!</v>
      </c>
      <c r="AA34" s="1">
        <f t="shared" si="32"/>
        <v>0</v>
      </c>
      <c r="AE34" s="133">
        <v>1</v>
      </c>
      <c r="AF34" s="110">
        <f>ROUND(AG27,-3)-1000</f>
        <v>-3000</v>
      </c>
      <c r="AG34" s="110">
        <f>ROUNDUP(AH29,-3)+1000</f>
        <v>1000</v>
      </c>
      <c r="AJ34" s="1">
        <f>IF(AI25="X",1,AK31)</f>
        <v>1</v>
      </c>
      <c r="AK34" s="134">
        <f>IF(AI25="X",AK30,1)</f>
        <v>0.73333333000000001</v>
      </c>
      <c r="AM34" s="1">
        <f>AG18</f>
        <v>0</v>
      </c>
      <c r="AN34" s="1">
        <f>AH18</f>
        <v>0</v>
      </c>
      <c r="AS34" s="1" t="b">
        <f>OR(ROUND(SQRT(($BK$12*$BK$12)-(($BG$24-$BN$12)*($BG$24-$BN$12)))+$BM$12,0)=ROUND($AZ$11,0),ROUND(SQRT(($BK$12*$BK$12)-(($BG$24-$BN$12)*($BG$24-$BN$12)))+$BM$12,0)=ROUND($BA$11,0))</f>
        <v>0</v>
      </c>
      <c r="AT34" s="1" t="b">
        <f>OR(ROUND(SQRT(($BK$13*$BK$13)-(($BJ$24-$BN$13)*($BJ$24-$BN$13)))+$BM$13,0)=ROUND($AZ$12,0),ROUND(SQRT(($BK$13*$BK$13)-(($BJ$24-$BN$13)*($BJ$24-$BN$13)))+$BM$13,0)=ROUND($BA$12,0))</f>
        <v>0</v>
      </c>
      <c r="AU34" s="1" t="b">
        <f>OR(ROUND(SQRT(($BK$14*$BK$14)-(($BM$24-$BN$14)*($BM$24-$BN$14)))+$BM$14,0)=ROUND($AZ$13,0),ROUND(SQRT(($BK$14*$BK$14)-(($BM$24-$BN$14)*($BM$24-$BN$14)))+$BM$14,0)=ROUND($BA$13,0))</f>
        <v>1</v>
      </c>
      <c r="AV34" s="137" t="b">
        <f>OR(ROUND(SQRT(($BK$15*$BK$15)-(($BP$24-$BN$15)*($BP$24-$BN$15)))+$BM$15,0)=ROUND($AZ$14,0),ROUND(SQRT(($BK$15*$BK$15)-(($BP$24-$BN$15)*($BP$24-$BN$15)))+$BM$15,0)=ROUND($BA$14,0))</f>
        <v>1</v>
      </c>
      <c r="AW34" s="137" t="b">
        <f>OR(ROUND(SQRT(($BK$16*$BK$16)-(($BS$24-$BN$16)*($BS$24-$BN$16)))+$BM$16,0)=ROUND($AZ$15,0),ROUND(SQRT(($BK$16*$BK$16)-(($BS$24-$BN$16)*($BS$24-$BN$16)))+$BM$16,0)=ROUND($BA$15,0))</f>
        <v>1</v>
      </c>
      <c r="AX34" s="137" t="b">
        <f>OR(ROUND(SQRT(($BK$17*$BK$17)-(($BV$24-$BN$17)*($BV$24-$BN$17)))+$BM$17,0)=ROUND($AZ$16,0),ROUND(SQRT(($BK$17*$BK$17)-(($BV$24-$BN$17)*($BV$24-$BN$17)))+$BM$17,0)=ROUND($BA$16,0))</f>
        <v>1</v>
      </c>
      <c r="AY34" s="137" t="e">
        <f>OR(ROUND(SQRT(($BK$18*$BK$18)-(($BY$24-$BN$18)*($BY$24-$BN$18)))+$BM$18,0)=ROUND($AZ$17,0),ROUND(SQRT(($BK$18*$BK$18)-(($BY$24-$BN$18)*($BY$24-$BN$18)))+$BM$18,0)=ROUND($BA$17,0))</f>
        <v>#DIV/0!</v>
      </c>
      <c r="AZ34" s="137" t="e">
        <f>OR(ROUND(SQRT(($BK$19*$BK$19)-(($CB$24-$BN$19)*($CB$24-$BN$19)))+$BM$19,0)=ROUND($AZ$18,0),ROUND(SQRT(($BK$19*$BK$19)-(($CB$24-$BN$19)*($CB$24-$BN$19)))+$BM$19,0)=ROUND($BA$18,0))</f>
        <v>#DIV/0!</v>
      </c>
      <c r="BA34" s="137"/>
      <c r="BB34" s="137"/>
      <c r="BC34" s="137"/>
      <c r="BD34" s="137"/>
      <c r="BE34" s="1"/>
      <c r="BF34" s="1">
        <v>11</v>
      </c>
      <c r="BG34" s="1">
        <f t="shared" si="47"/>
        <v>4370</v>
      </c>
      <c r="BH34" s="1">
        <f t="shared" si="33"/>
        <v>0</v>
      </c>
      <c r="BI34" s="1">
        <v>11</v>
      </c>
      <c r="BJ34" s="1">
        <f t="shared" si="41"/>
        <v>-3524.8249018991692</v>
      </c>
      <c r="BK34" s="1">
        <f t="shared" si="34"/>
        <v>6902.0366132723093</v>
      </c>
      <c r="BL34" s="1">
        <v>11</v>
      </c>
      <c r="BM34" s="1">
        <f t="shared" si="42"/>
        <v>1006.582383144776</v>
      </c>
      <c r="BN34" s="1">
        <f t="shared" si="35"/>
        <v>-7587.978777950555</v>
      </c>
      <c r="BO34" s="1">
        <v>11</v>
      </c>
      <c r="BP34" s="1">
        <f t="shared" si="43"/>
        <v>-4789.2503841589796</v>
      </c>
      <c r="BQ34" s="1">
        <f t="shared" si="36"/>
        <v>-1078.4162686017517</v>
      </c>
      <c r="BR34" s="1">
        <v>11</v>
      </c>
      <c r="BS34" s="1">
        <f t="shared" si="48"/>
        <v>-2285.7900811074505</v>
      </c>
      <c r="BT34" s="1">
        <f t="shared" si="37"/>
        <v>-1780.3325820217715</v>
      </c>
      <c r="BU34" s="1">
        <v>11</v>
      </c>
      <c r="BV34" s="1">
        <f t="shared" si="44"/>
        <v>0</v>
      </c>
      <c r="BW34" s="1">
        <f t="shared" si="38"/>
        <v>0</v>
      </c>
      <c r="BX34" s="1">
        <v>11</v>
      </c>
      <c r="BY34" s="1">
        <f t="shared" si="45"/>
        <v>0</v>
      </c>
      <c r="BZ34" s="1">
        <f t="shared" si="39"/>
        <v>0</v>
      </c>
      <c r="CA34" s="1">
        <v>11</v>
      </c>
      <c r="CB34" s="1">
        <f t="shared" si="46"/>
        <v>0</v>
      </c>
      <c r="CC34" s="1">
        <f t="shared" si="40"/>
        <v>0</v>
      </c>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96"/>
      <c r="EA34" s="96"/>
      <c r="EB34" s="96"/>
      <c r="EC34" s="1"/>
      <c r="ED34" s="1"/>
    </row>
    <row r="35" spans="1:134" ht="18" x14ac:dyDescent="0.25">
      <c r="A35" s="1"/>
      <c r="B35" s="1">
        <v>11</v>
      </c>
      <c r="C35" s="77" t="str">
        <f>IF(G7=7,"C-G",IF(G7=8,"C-E",""))</f>
        <v/>
      </c>
      <c r="D35" s="103" t="str">
        <f>Print!D38</f>
        <v>-</v>
      </c>
      <c r="E35" s="1"/>
      <c r="F35" s="1"/>
      <c r="G35" s="1"/>
      <c r="H35" s="1"/>
      <c r="I35" s="1"/>
      <c r="J35" s="1"/>
      <c r="K35" s="1"/>
      <c r="L35" s="1"/>
      <c r="M35" s="1"/>
      <c r="N35" s="1"/>
      <c r="O35" s="1"/>
      <c r="P35" s="1"/>
      <c r="Y35" s="110" t="e">
        <f t="shared" si="31"/>
        <v>#VALUE!</v>
      </c>
      <c r="AA35" s="1">
        <f t="shared" si="32"/>
        <v>0</v>
      </c>
      <c r="AE35" s="133">
        <v>2</v>
      </c>
      <c r="AF35" s="1">
        <f>ROUNDUP(ROUNDUP(AG27+MAX(AG25:AH25)+1000,-3)*AJ34,-3)</f>
        <v>8000</v>
      </c>
      <c r="AG35" s="110">
        <f>AG34</f>
        <v>1000</v>
      </c>
      <c r="AK35" s="134"/>
      <c r="AV35" s="137"/>
      <c r="AW35" s="137"/>
      <c r="AX35" s="137"/>
      <c r="AY35" s="137"/>
      <c r="AZ35" s="137"/>
      <c r="BA35" s="137"/>
      <c r="BB35" s="137"/>
      <c r="BC35" s="137"/>
      <c r="BD35" s="137"/>
      <c r="BE35" s="1"/>
      <c r="BF35" s="1">
        <v>11</v>
      </c>
      <c r="BG35" s="1">
        <f>BG33+$BH$23</f>
        <v>4370</v>
      </c>
      <c r="BH35" s="1">
        <f t="shared" si="33"/>
        <v>0</v>
      </c>
      <c r="BI35" s="1">
        <v>11</v>
      </c>
      <c r="BJ35" s="1">
        <f>BJ34</f>
        <v>-3524.8249018991692</v>
      </c>
      <c r="BK35" s="1">
        <f t="shared" si="34"/>
        <v>6902.0366132723093</v>
      </c>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96"/>
      <c r="EA35" s="96"/>
      <c r="EB35" s="96"/>
      <c r="EC35" s="1"/>
      <c r="ED35" s="1"/>
    </row>
    <row r="36" spans="1:134" ht="18" x14ac:dyDescent="0.25">
      <c r="A36" s="1"/>
      <c r="B36" s="1">
        <v>12</v>
      </c>
      <c r="C36" s="77" t="str">
        <f>IF(G7=7,"D-F",IF(G7=8,"C-F",""))</f>
        <v/>
      </c>
      <c r="D36" s="103" t="str">
        <f>Print!D39</f>
        <v>-</v>
      </c>
      <c r="E36" s="1"/>
      <c r="F36" s="1"/>
      <c r="G36" s="1"/>
      <c r="H36" s="1"/>
      <c r="I36" s="1"/>
      <c r="J36" s="1"/>
      <c r="K36" s="1"/>
      <c r="L36" s="1"/>
      <c r="M36" s="1"/>
      <c r="N36" s="1"/>
      <c r="O36" s="1"/>
      <c r="P36" s="1"/>
      <c r="Y36" s="110" t="e">
        <f t="shared" si="31"/>
        <v>#VALUE!</v>
      </c>
      <c r="AA36" s="1">
        <f t="shared" si="32"/>
        <v>0</v>
      </c>
      <c r="AE36" s="133">
        <v>3</v>
      </c>
      <c r="AF36" s="1">
        <f>AF35</f>
        <v>8000</v>
      </c>
      <c r="AG36" s="1">
        <f>ROUNDUP(AH29-ROUNDUP(MAX(AG25:AH25),-3)*AK34-1000,-3)</f>
        <v>-8000</v>
      </c>
      <c r="AI36" s="110"/>
      <c r="AK36" s="134"/>
      <c r="AV36" s="137"/>
      <c r="AW36" s="137"/>
      <c r="AX36" s="137"/>
      <c r="AY36" s="137"/>
      <c r="AZ36" s="137"/>
      <c r="BA36" s="137"/>
      <c r="BB36" s="137"/>
      <c r="BC36" s="137"/>
      <c r="BD36" s="137"/>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96"/>
      <c r="EA36" s="96"/>
      <c r="EB36" s="96"/>
      <c r="EC36" s="1"/>
      <c r="ED36" s="1"/>
    </row>
    <row r="37" spans="1:134" ht="18" x14ac:dyDescent="0.25">
      <c r="A37" s="1"/>
      <c r="B37" s="1">
        <v>13</v>
      </c>
      <c r="C37" s="77" t="str">
        <f>IF(G7=7,"D-G",IF(G7=8,"C-G",""))</f>
        <v/>
      </c>
      <c r="D37" s="103" t="str">
        <f>Print!D40</f>
        <v>-</v>
      </c>
      <c r="E37" s="1"/>
      <c r="F37" s="1"/>
      <c r="G37" s="1"/>
      <c r="H37" s="1"/>
      <c r="I37" s="1"/>
      <c r="J37" s="1"/>
      <c r="K37" s="1"/>
      <c r="L37" s="1"/>
      <c r="M37" s="1"/>
      <c r="N37" s="1"/>
      <c r="O37" s="1"/>
      <c r="P37" s="1"/>
      <c r="Y37" s="110" t="e">
        <f t="shared" si="31"/>
        <v>#VALUE!</v>
      </c>
      <c r="AA37" s="1">
        <f t="shared" si="32"/>
        <v>0</v>
      </c>
      <c r="AE37" s="133">
        <v>4</v>
      </c>
      <c r="AF37" s="110">
        <f>AF34</f>
        <v>-3000</v>
      </c>
      <c r="AG37" s="1">
        <f>AG36</f>
        <v>-8000</v>
      </c>
      <c r="AK37" s="134"/>
      <c r="AV37" s="137"/>
      <c r="AW37" s="137"/>
      <c r="AX37" s="137"/>
      <c r="AY37" s="137"/>
      <c r="AZ37" s="137"/>
      <c r="BA37" s="137"/>
      <c r="BB37" s="137"/>
      <c r="BC37" s="137"/>
      <c r="BD37" s="137"/>
      <c r="BE37" s="1"/>
      <c r="BF37" s="1"/>
      <c r="BG37" s="1" t="s">
        <v>158</v>
      </c>
      <c r="BH37" s="1" t="s">
        <v>159</v>
      </c>
      <c r="BI37" s="1"/>
      <c r="BJ37" s="1" t="s">
        <v>158</v>
      </c>
      <c r="BK37" s="1" t="s">
        <v>159</v>
      </c>
      <c r="BL37" s="1"/>
      <c r="BM37" s="1" t="s">
        <v>158</v>
      </c>
      <c r="BN37" s="1" t="s">
        <v>159</v>
      </c>
      <c r="BO37" s="1"/>
      <c r="BP37" s="1" t="s">
        <v>158</v>
      </c>
      <c r="BQ37" s="1" t="s">
        <v>159</v>
      </c>
      <c r="BR37" s="1"/>
      <c r="BS37" s="1" t="s">
        <v>158</v>
      </c>
      <c r="BT37" s="1" t="s">
        <v>159</v>
      </c>
      <c r="BU37" s="1"/>
      <c r="BV37" s="1" t="s">
        <v>158</v>
      </c>
      <c r="BW37" s="1" t="s">
        <v>159</v>
      </c>
      <c r="BX37" s="1"/>
      <c r="BY37" s="1" t="s">
        <v>158</v>
      </c>
      <c r="BZ37" s="1" t="s">
        <v>159</v>
      </c>
      <c r="CA37" s="1"/>
      <c r="CB37" s="1" t="s">
        <v>158</v>
      </c>
      <c r="CC37" s="1" t="s">
        <v>159</v>
      </c>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96"/>
      <c r="EA37" s="96"/>
      <c r="EB37" s="96"/>
      <c r="EC37" s="1"/>
      <c r="ED37" s="1"/>
    </row>
    <row r="38" spans="1:134" ht="18" x14ac:dyDescent="0.25">
      <c r="A38" s="1"/>
      <c r="B38" s="1">
        <v>14</v>
      </c>
      <c r="C38" s="77" t="str">
        <f>IF(G7=7,"E-G",IF(G7=8,"C-H",""))</f>
        <v/>
      </c>
      <c r="D38" s="103" t="str">
        <f>Print!D41</f>
        <v>-</v>
      </c>
      <c r="E38" s="1"/>
      <c r="F38" s="1"/>
      <c r="G38" s="1"/>
      <c r="H38" s="1"/>
      <c r="I38" s="1"/>
      <c r="J38" s="1"/>
      <c r="K38" s="1"/>
      <c r="L38" s="1"/>
      <c r="M38" s="1"/>
      <c r="N38" s="1"/>
      <c r="O38" s="1"/>
      <c r="P38" s="1"/>
      <c r="Y38" s="110" t="e">
        <f t="shared" si="31"/>
        <v>#VALUE!</v>
      </c>
      <c r="AA38" s="1">
        <f t="shared" si="32"/>
        <v>0</v>
      </c>
      <c r="AE38" s="133"/>
      <c r="AF38" s="110">
        <f>AF34</f>
        <v>-3000</v>
      </c>
      <c r="AG38" s="110">
        <f>AG34</f>
        <v>1000</v>
      </c>
      <c r="AK38" s="134"/>
      <c r="AV38" s="1"/>
      <c r="AW38" s="1"/>
      <c r="AX38" s="1"/>
      <c r="AY38" s="1" t="s">
        <v>190</v>
      </c>
      <c r="AZ38" s="1" t="s">
        <v>191</v>
      </c>
      <c r="BA38" s="1"/>
      <c r="BB38" s="1" t="s">
        <v>192</v>
      </c>
      <c r="BC38" s="1" t="s">
        <v>193</v>
      </c>
      <c r="BD38" s="1" t="s">
        <v>194</v>
      </c>
      <c r="BE38" s="1"/>
      <c r="BF38" s="1"/>
      <c r="BG38" s="1">
        <f>IF($BL$12="X",BG24,BH24)</f>
        <v>0</v>
      </c>
      <c r="BH38" s="1">
        <f>IF($BL$12="X",BH24,BG24)</f>
        <v>0</v>
      </c>
      <c r="BI38" s="1"/>
      <c r="BJ38" s="1">
        <f>IF($BL$13="X",BJ24,BK24)</f>
        <v>4370</v>
      </c>
      <c r="BK38" s="1">
        <f>IF($BL$13="X",BK24,BJ24)</f>
        <v>0</v>
      </c>
      <c r="BL38" s="1"/>
      <c r="BM38" s="1">
        <f>IF($BL$14="X",BM24,BN24)</f>
        <v>6902.0366132723102</v>
      </c>
      <c r="BN38" s="1">
        <f>IF($BL$14="X",BN24,BM24)</f>
        <v>-3524.8249018991701</v>
      </c>
      <c r="BO38" s="1"/>
      <c r="BP38" s="1">
        <f>IF($BL$15="X",BP24,BQ24)</f>
        <v>1006.5823831447769</v>
      </c>
      <c r="BQ38" s="1">
        <f>IF($BL$15="X",BQ24,BP24)</f>
        <v>-7587.9787779505505</v>
      </c>
      <c r="BR38" s="1"/>
      <c r="BS38" s="1">
        <f>IF($BL$16="X",BS24,BT24)</f>
        <v>-1078.4162686017526</v>
      </c>
      <c r="BT38" s="1">
        <f>IF($BL$16="X",BT24,BS24)</f>
        <v>-4789.2503841589787</v>
      </c>
      <c r="BU38" s="1"/>
      <c r="BV38" s="1">
        <f>IF($BL$17="X",BV24,BW24)</f>
        <v>-1780.3325820217742</v>
      </c>
      <c r="BW38" s="1">
        <f>IF($BL$17="X",BW24,BV24)</f>
        <v>-2285.7900811074505</v>
      </c>
      <c r="BX38" s="1"/>
      <c r="BY38" s="1">
        <f>IF($BL$18="X",BY24,BZ24)</f>
        <v>0</v>
      </c>
      <c r="BZ38" s="1">
        <f>IF($BL$18="X",BZ24,BY24)</f>
        <v>0</v>
      </c>
      <c r="CA38" s="1"/>
      <c r="CB38" s="1">
        <f>IF($BL$19="X",CB24,CC24)</f>
        <v>0</v>
      </c>
      <c r="CC38" s="1">
        <f>IF($BL$19="X",CC24,CB24)</f>
        <v>0</v>
      </c>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96"/>
      <c r="EA38" s="96"/>
      <c r="EB38" s="96"/>
      <c r="EC38" s="1"/>
      <c r="ED38" s="1"/>
    </row>
    <row r="39" spans="1:134" ht="18" x14ac:dyDescent="0.25">
      <c r="A39" s="1"/>
      <c r="B39" s="1">
        <v>15</v>
      </c>
      <c r="C39" s="77" t="str">
        <f>IF(G7=8,"D-F","")</f>
        <v/>
      </c>
      <c r="D39" s="103" t="str">
        <f>Print!D42</f>
        <v>-</v>
      </c>
      <c r="E39" s="1"/>
      <c r="F39" s="1"/>
      <c r="G39" s="1"/>
      <c r="H39" s="1"/>
      <c r="I39" s="1"/>
      <c r="J39" s="1"/>
      <c r="K39" s="1"/>
      <c r="L39" s="1"/>
      <c r="M39" s="1"/>
      <c r="N39" s="1"/>
      <c r="O39" s="1"/>
      <c r="P39" s="1"/>
      <c r="Y39" s="110" t="e">
        <f t="shared" si="31"/>
        <v>#VALUE!</v>
      </c>
      <c r="AA39" s="1">
        <f t="shared" si="32"/>
        <v>0</v>
      </c>
      <c r="AE39" s="124"/>
      <c r="AF39" s="125"/>
      <c r="AG39" s="125"/>
      <c r="AH39" s="125"/>
      <c r="AI39" s="125"/>
      <c r="AJ39" s="125"/>
      <c r="AK39" s="138"/>
      <c r="AV39" s="1"/>
      <c r="AW39" s="1"/>
      <c r="AX39" s="1" t="str">
        <f>C11</f>
        <v>A-B</v>
      </c>
      <c r="AY39" s="1">
        <f>AE11/2</f>
        <v>0.70298445038416835</v>
      </c>
      <c r="AZ39" s="1">
        <f>ABS(ATAN(AB11/D11))</f>
        <v>0</v>
      </c>
      <c r="BA39" s="1"/>
      <c r="BB39" s="1" t="e">
        <f>IF(VLOOKUP(LEFT(AX39,1),$AD$11:$AL$18,8,FALSE)="-",0,VLOOKUP(LEFT(AX39,1),$AD$11:$AL$18,8,FALSE))</f>
        <v>#N/A</v>
      </c>
      <c r="BC39" s="1" t="e">
        <f>IF(VLOOKUP(RIGHT(AX39,1),$AD$11:$AL$18,8,FALSE)="-",0,VLOOKUP(RIGHT(AX39,1),$AD$11:$AL$18,8,FALSE))</f>
        <v>#N/A</v>
      </c>
      <c r="BD39" s="1" t="e">
        <f>(BB39+BC39)*SIN(AZ39)</f>
        <v>#N/A</v>
      </c>
      <c r="BE39" s="1"/>
      <c r="BF39" s="1"/>
      <c r="BG39" s="1">
        <f t="shared" ref="BG39:BG48" si="49">IF($BL$12="X",BG25,BH25)</f>
        <v>437</v>
      </c>
      <c r="BH39" s="1">
        <f t="shared" ref="BH39:BH48" si="50">IF($BL$12="X",BH25,BG25)</f>
        <v>-79.164825848800319</v>
      </c>
      <c r="BI39" s="1"/>
      <c r="BJ39" s="1">
        <f t="shared" ref="BJ39:BJ48" si="51">IF($BL$13="X",BJ25,BK25)</f>
        <v>4536.5375816528212</v>
      </c>
      <c r="BK39" s="1">
        <f t="shared" ref="BK39:BK48" si="52">IF($BL$13="X",BK25,BJ25)</f>
        <v>-352.48249018991692</v>
      </c>
      <c r="BL39" s="1"/>
      <c r="BM39" s="1">
        <f t="shared" ref="BM39:BM48" si="53">IF($BL$14="X",BM25,BN25)</f>
        <v>6312.4911902595568</v>
      </c>
      <c r="BN39" s="1">
        <f t="shared" ref="BN39:BN48" si="54">IF($BL$14="X",BN25,BM25)</f>
        <v>-3789.4994049459638</v>
      </c>
      <c r="BO39" s="1"/>
      <c r="BP39" s="1">
        <f t="shared" ref="BP39:BP48" si="55">IF($BL$15="X",BP25,BQ25)</f>
        <v>868.38833356887972</v>
      </c>
      <c r="BQ39" s="1">
        <f t="shared" ref="BQ39:BQ48" si="56">IF($BL$15="X",BQ25,BP25)</f>
        <v>-7308.1059385713934</v>
      </c>
      <c r="BR39" s="1"/>
      <c r="BS39" s="1">
        <f t="shared" ref="BS39:BS48" si="57">IF($BL$16="X",BS25,BT25)</f>
        <v>-1101.8095555081827</v>
      </c>
      <c r="BT39" s="1">
        <f t="shared" ref="BT39:BT48" si="58">IF($BL$16="X",BT25,BS25)</f>
        <v>-4538.9043538538263</v>
      </c>
      <c r="BU39" s="1"/>
      <c r="BV39" s="1">
        <f t="shared" ref="BV39:BV48" si="59">IF($BL$17="X",BV25,BW25)</f>
        <v>-1526.4933223048356</v>
      </c>
      <c r="BW39" s="1">
        <f t="shared" ref="BW39:BW48" si="60">IF($BL$17="X",BW25,BV25)</f>
        <v>-2057.2110729967053</v>
      </c>
      <c r="BX39" s="1"/>
      <c r="BY39" s="1">
        <f t="shared" ref="BY39:BY48" si="61">IF($BL$18="X",BY25,BZ25)</f>
        <v>0</v>
      </c>
      <c r="BZ39" s="1">
        <f t="shared" ref="BZ39:BZ48" si="62">IF($BL$18="X",BZ25,BY25)</f>
        <v>0</v>
      </c>
      <c r="CA39" s="1"/>
      <c r="CB39" s="1">
        <f t="shared" ref="CB39:CB48" si="63">IF($BL$19="X",CB25,CC25)</f>
        <v>0</v>
      </c>
      <c r="CC39" s="1">
        <f t="shared" ref="CC39:CC48" si="64">IF($BL$19="X",CC25,CB25)</f>
        <v>0</v>
      </c>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96"/>
      <c r="EA39" s="96"/>
      <c r="EB39" s="96"/>
      <c r="EC39" s="1"/>
      <c r="ED39" s="1"/>
    </row>
    <row r="40" spans="1:134" ht="18" x14ac:dyDescent="0.25">
      <c r="A40" s="1"/>
      <c r="B40" s="1">
        <v>16</v>
      </c>
      <c r="C40" s="77" t="str">
        <f>IF(G7=8,"D-G","")</f>
        <v/>
      </c>
      <c r="D40" s="103" t="str">
        <f>Print!D43</f>
        <v>-</v>
      </c>
      <c r="E40" s="1"/>
      <c r="F40" s="1"/>
      <c r="G40" s="1"/>
      <c r="H40" s="1"/>
      <c r="I40" s="1"/>
      <c r="J40" s="1"/>
      <c r="K40" s="1"/>
      <c r="L40" s="1"/>
      <c r="M40" s="1"/>
      <c r="N40" s="1"/>
      <c r="O40" s="1"/>
      <c r="P40" s="1"/>
      <c r="Y40" s="110" t="e">
        <f t="shared" si="31"/>
        <v>#VALUE!</v>
      </c>
      <c r="AA40" s="1">
        <f t="shared" si="32"/>
        <v>0</v>
      </c>
      <c r="AM40" s="129">
        <f>AM11</f>
        <v>0</v>
      </c>
      <c r="AN40" s="130">
        <f>AN11</f>
        <v>0</v>
      </c>
      <c r="AO40" s="130"/>
      <c r="AP40" s="130"/>
      <c r="AQ40" s="131"/>
      <c r="AV40" s="1"/>
      <c r="AW40" s="1"/>
      <c r="AX40" s="1" t="str">
        <f t="shared" ref="AX40:AX46" si="65">C12</f>
        <v>B-C</v>
      </c>
      <c r="AY40" s="1">
        <f t="shared" ref="AY40:AY46" si="66">AE12/2</f>
        <v>1.096863931428024</v>
      </c>
      <c r="AZ40" s="1">
        <f t="shared" ref="AZ40:AZ46" si="67">ABS(ATAN(AB12/D12))</f>
        <v>0</v>
      </c>
      <c r="BA40" s="1"/>
      <c r="BB40" s="1" t="e">
        <f t="shared" ref="BB40:BB46" si="68">IF(VLOOKUP(LEFT(AX40,1),$AD$11:$AL$18,8,FALSE)="-",0,VLOOKUP(LEFT(AX40,1),$AD$11:$AL$18,8,FALSE))</f>
        <v>#N/A</v>
      </c>
      <c r="BC40" s="1" t="e">
        <f t="shared" ref="BC40:BC46" si="69">IF(VLOOKUP(RIGHT(AX40,1),$AD$11:$AL$18,8,FALSE)="-",0,VLOOKUP(RIGHT(AX40,1),$AD$11:$AL$18,8,FALSE))</f>
        <v>#N/A</v>
      </c>
      <c r="BD40" s="1" t="e">
        <f t="shared" ref="BD40:BD46" si="70">(BB40+BC40)*SIN(AZ40)</f>
        <v>#N/A</v>
      </c>
      <c r="BE40" s="1"/>
      <c r="BF40" s="1"/>
      <c r="BG40" s="1">
        <f t="shared" si="49"/>
        <v>874</v>
      </c>
      <c r="BH40" s="1">
        <f t="shared" si="50"/>
        <v>-140.34200684714961</v>
      </c>
      <c r="BI40" s="1"/>
      <c r="BJ40" s="1">
        <f t="shared" si="51"/>
        <v>4718.8258653006942</v>
      </c>
      <c r="BK40" s="1">
        <f t="shared" si="52"/>
        <v>-704.96498037983383</v>
      </c>
      <c r="BL40" s="1"/>
      <c r="BM40" s="1">
        <f t="shared" si="53"/>
        <v>5722.9457672468034</v>
      </c>
      <c r="BN40" s="1">
        <f t="shared" si="54"/>
        <v>-4080.1442824866954</v>
      </c>
      <c r="BO40" s="1"/>
      <c r="BP40" s="1">
        <f t="shared" si="55"/>
        <v>717.51949093107123</v>
      </c>
      <c r="BQ40" s="1">
        <f t="shared" si="56"/>
        <v>-7028.2330991922363</v>
      </c>
      <c r="BR40" s="1"/>
      <c r="BS40" s="1">
        <f t="shared" si="57"/>
        <v>-1134.9359889432053</v>
      </c>
      <c r="BT40" s="1">
        <f t="shared" si="58"/>
        <v>-4288.5583235486738</v>
      </c>
      <c r="BU40" s="1"/>
      <c r="BV40" s="1">
        <f t="shared" si="59"/>
        <v>-1294.8212497302393</v>
      </c>
      <c r="BW40" s="1">
        <f t="shared" si="60"/>
        <v>-1828.6320648859603</v>
      </c>
      <c r="BX40" s="1"/>
      <c r="BY40" s="1">
        <f t="shared" si="61"/>
        <v>0</v>
      </c>
      <c r="BZ40" s="1">
        <f t="shared" si="62"/>
        <v>0</v>
      </c>
      <c r="CA40" s="1"/>
      <c r="CB40" s="1">
        <f t="shared" si="63"/>
        <v>0</v>
      </c>
      <c r="CC40" s="1">
        <f t="shared" si="64"/>
        <v>0</v>
      </c>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96"/>
      <c r="EA40" s="96"/>
      <c r="EB40" s="96"/>
      <c r="EC40" s="1"/>
      <c r="ED40" s="1"/>
    </row>
    <row r="41" spans="1:134" ht="18" x14ac:dyDescent="0.25">
      <c r="A41" s="1"/>
      <c r="B41" s="1">
        <v>17</v>
      </c>
      <c r="C41" s="77" t="str">
        <f>IF(G7=8,"D-H","")</f>
        <v/>
      </c>
      <c r="D41" s="103" t="str">
        <f>Print!D44</f>
        <v>-</v>
      </c>
      <c r="E41" s="1"/>
      <c r="F41" s="1"/>
      <c r="G41" s="1"/>
      <c r="H41" s="1"/>
      <c r="I41" s="1"/>
      <c r="J41" s="1"/>
      <c r="K41" s="1"/>
      <c r="L41" s="1"/>
      <c r="M41" s="1"/>
      <c r="N41" s="1"/>
      <c r="O41" s="1"/>
      <c r="P41" s="1"/>
      <c r="Y41" s="110" t="e">
        <f t="shared" si="31"/>
        <v>#VALUE!</v>
      </c>
      <c r="AA41" s="1">
        <f t="shared" si="32"/>
        <v>0</v>
      </c>
      <c r="AM41" s="139">
        <f>AM12</f>
        <v>4370</v>
      </c>
      <c r="AN41" s="110">
        <f>AN12</f>
        <v>0</v>
      </c>
      <c r="AP41" s="1" t="str">
        <f>IF(Print!$F$7="","COLOUR?",CONCATENATE(Print!$F$6," - ",Print!$F$7))</f>
        <v>Z 16 - CHARCOAL</v>
      </c>
      <c r="AQ41" s="134"/>
      <c r="AV41" s="1"/>
      <c r="AW41" s="1"/>
      <c r="AX41" s="1" t="str">
        <f t="shared" si="65"/>
        <v>C-D</v>
      </c>
      <c r="AY41" s="1">
        <f t="shared" si="66"/>
        <v>0.77565319097596508</v>
      </c>
      <c r="AZ41" s="1">
        <f t="shared" si="67"/>
        <v>0</v>
      </c>
      <c r="BA41" s="1"/>
      <c r="BB41" s="1" t="e">
        <f t="shared" si="68"/>
        <v>#N/A</v>
      </c>
      <c r="BC41" s="1" t="e">
        <f t="shared" si="69"/>
        <v>#N/A</v>
      </c>
      <c r="BD41" s="1" t="e">
        <f t="shared" si="70"/>
        <v>#N/A</v>
      </c>
      <c r="BE41" s="1"/>
      <c r="BF41" s="1"/>
      <c r="BG41" s="1">
        <f t="shared" si="49"/>
        <v>1311</v>
      </c>
      <c r="BH41" s="1">
        <f t="shared" si="50"/>
        <v>-183.83167670480179</v>
      </c>
      <c r="BI41" s="1"/>
      <c r="BJ41" s="1">
        <f t="shared" si="51"/>
        <v>4917.7770435315597</v>
      </c>
      <c r="BK41" s="1">
        <f t="shared" si="52"/>
        <v>-1057.4474705697507</v>
      </c>
      <c r="BL41" s="1"/>
      <c r="BM41" s="1">
        <f t="shared" si="53"/>
        <v>5133.40034423405</v>
      </c>
      <c r="BN41" s="1">
        <f t="shared" si="54"/>
        <v>-4398.1972628200365</v>
      </c>
      <c r="BO41" s="1"/>
      <c r="BP41" s="1">
        <f t="shared" si="55"/>
        <v>553.21262794338236</v>
      </c>
      <c r="BQ41" s="1">
        <f t="shared" si="56"/>
        <v>-6748.3602598130792</v>
      </c>
      <c r="BR41" s="1"/>
      <c r="BS41" s="1">
        <f t="shared" si="57"/>
        <v>-1177.9455903222461</v>
      </c>
      <c r="BT41" s="1">
        <f t="shared" si="58"/>
        <v>-4038.2122932435209</v>
      </c>
      <c r="BU41" s="1"/>
      <c r="BV41" s="1">
        <f t="shared" si="59"/>
        <v>-1082.4965052493353</v>
      </c>
      <c r="BW41" s="1">
        <f t="shared" si="60"/>
        <v>-1600.0530567752153</v>
      </c>
      <c r="BX41" s="1"/>
      <c r="BY41" s="1">
        <f t="shared" si="61"/>
        <v>0</v>
      </c>
      <c r="BZ41" s="1">
        <f t="shared" si="62"/>
        <v>0</v>
      </c>
      <c r="CA41" s="1"/>
      <c r="CB41" s="1">
        <f t="shared" si="63"/>
        <v>0</v>
      </c>
      <c r="CC41" s="1">
        <f t="shared" si="64"/>
        <v>0</v>
      </c>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96"/>
      <c r="EA41" s="96"/>
      <c r="EB41" s="96"/>
      <c r="EC41" s="1"/>
      <c r="ED41" s="1"/>
    </row>
    <row r="42" spans="1:134" ht="18" x14ac:dyDescent="0.25">
      <c r="A42" s="1"/>
      <c r="B42" s="1">
        <v>18</v>
      </c>
      <c r="C42" s="77" t="str">
        <f>IF(G7=8,"E-G","")</f>
        <v/>
      </c>
      <c r="D42" s="103" t="str">
        <f>Print!D45</f>
        <v>-</v>
      </c>
      <c r="E42" s="1"/>
      <c r="F42" s="1"/>
      <c r="G42" s="1"/>
      <c r="H42" s="1"/>
      <c r="I42" s="1"/>
      <c r="J42" s="1"/>
      <c r="K42" s="1"/>
      <c r="L42" s="1"/>
      <c r="M42" s="1"/>
      <c r="N42" s="1"/>
      <c r="O42" s="1"/>
      <c r="P42" s="1"/>
      <c r="Y42" s="110" t="e">
        <f t="shared" si="31"/>
        <v>#VALUE!</v>
      </c>
      <c r="AA42" s="1">
        <f t="shared" si="32"/>
        <v>0</v>
      </c>
      <c r="AM42" s="133">
        <f>AM15</f>
        <v>6902.0366132723102</v>
      </c>
      <c r="AN42" s="1">
        <f>AN15</f>
        <v>-3524.8249018991692</v>
      </c>
      <c r="AP42" s="1">
        <f>AP47/2-1000+AP49</f>
        <v>1560.8520156252689</v>
      </c>
      <c r="AQ42" s="134">
        <f>AQ47/2+AQ49</f>
        <v>-3793.9893889752752</v>
      </c>
      <c r="AV42" s="1"/>
      <c r="AW42" s="1"/>
      <c r="AX42" s="1" t="str">
        <f t="shared" si="65"/>
        <v>D-E</v>
      </c>
      <c r="AY42" s="1">
        <f t="shared" si="66"/>
        <v>0.8038178742911426</v>
      </c>
      <c r="AZ42" s="1">
        <f t="shared" si="67"/>
        <v>0</v>
      </c>
      <c r="BA42" s="1"/>
      <c r="BB42" s="1" t="e">
        <f t="shared" si="68"/>
        <v>#N/A</v>
      </c>
      <c r="BC42" s="1" t="e">
        <f t="shared" si="69"/>
        <v>#N/A</v>
      </c>
      <c r="BD42" s="1" t="e">
        <f t="shared" si="70"/>
        <v>#N/A</v>
      </c>
      <c r="BE42" s="1"/>
      <c r="BF42" s="1"/>
      <c r="BG42" s="1">
        <f t="shared" si="49"/>
        <v>1748</v>
      </c>
      <c r="BH42" s="1">
        <f t="shared" si="50"/>
        <v>-209.84313880663831</v>
      </c>
      <c r="BI42" s="1"/>
      <c r="BJ42" s="1">
        <f t="shared" si="51"/>
        <v>5134.4690781232202</v>
      </c>
      <c r="BK42" s="1">
        <f t="shared" si="52"/>
        <v>-1409.9299607596677</v>
      </c>
      <c r="BL42" s="1"/>
      <c r="BM42" s="1">
        <f t="shared" si="53"/>
        <v>4543.8549212212965</v>
      </c>
      <c r="BN42" s="1">
        <f t="shared" si="54"/>
        <v>-4745.3561607988922</v>
      </c>
      <c r="BO42" s="1"/>
      <c r="BP42" s="1">
        <f t="shared" si="55"/>
        <v>374.56503678525132</v>
      </c>
      <c r="BQ42" s="1">
        <f t="shared" si="56"/>
        <v>-6468.4874204339221</v>
      </c>
      <c r="BR42" s="1"/>
      <c r="BS42" s="1">
        <f t="shared" si="57"/>
        <v>-1231.0377830905245</v>
      </c>
      <c r="BT42" s="1">
        <f t="shared" si="58"/>
        <v>-3787.866262938368</v>
      </c>
      <c r="BU42" s="1"/>
      <c r="BV42" s="1">
        <f t="shared" si="59"/>
        <v>-887.34138879882084</v>
      </c>
      <c r="BW42" s="1">
        <f t="shared" si="60"/>
        <v>-1371.4740486644703</v>
      </c>
      <c r="BX42" s="1"/>
      <c r="BY42" s="1">
        <f t="shared" si="61"/>
        <v>0</v>
      </c>
      <c r="BZ42" s="1">
        <f t="shared" si="62"/>
        <v>0</v>
      </c>
      <c r="CA42" s="1"/>
      <c r="CB42" s="1">
        <f t="shared" si="63"/>
        <v>0</v>
      </c>
      <c r="CC42" s="1">
        <f t="shared" si="64"/>
        <v>0</v>
      </c>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96"/>
      <c r="EA42" s="96"/>
      <c r="EB42" s="96"/>
      <c r="EC42" s="1"/>
      <c r="ED42" s="1"/>
    </row>
    <row r="43" spans="1:134" ht="18" x14ac:dyDescent="0.25">
      <c r="A43" s="1"/>
      <c r="B43" s="1">
        <v>19</v>
      </c>
      <c r="C43" s="77" t="str">
        <f>IF(G7=8,"E-H","")</f>
        <v/>
      </c>
      <c r="D43" s="103" t="str">
        <f>Print!D46</f>
        <v>-</v>
      </c>
      <c r="E43" s="1"/>
      <c r="F43" s="1"/>
      <c r="G43" s="1"/>
      <c r="H43" s="1"/>
      <c r="I43" s="1"/>
      <c r="J43" s="1"/>
      <c r="K43" s="1"/>
      <c r="L43" s="1"/>
      <c r="M43" s="1"/>
      <c r="N43" s="1"/>
      <c r="O43" s="1"/>
      <c r="P43" s="1"/>
      <c r="Y43" s="110" t="e">
        <f t="shared" si="31"/>
        <v>#VALUE!</v>
      </c>
      <c r="AA43" s="1">
        <f t="shared" si="32"/>
        <v>0</v>
      </c>
      <c r="AM43" s="133">
        <f>AM18</f>
        <v>1006.582383144776</v>
      </c>
      <c r="AN43" s="1">
        <f>AN18</f>
        <v>-7587.9787779505505</v>
      </c>
      <c r="AQ43" s="134"/>
      <c r="AV43" s="1"/>
      <c r="AW43" s="1"/>
      <c r="AX43" s="1" t="str">
        <f t="shared" si="65"/>
        <v>E-F</v>
      </c>
      <c r="AY43" s="1">
        <f t="shared" si="66"/>
        <v>1.387335621765972</v>
      </c>
      <c r="AZ43" s="1">
        <f t="shared" si="67"/>
        <v>0</v>
      </c>
      <c r="BA43" s="1"/>
      <c r="BB43" s="1" t="e">
        <f t="shared" si="68"/>
        <v>#N/A</v>
      </c>
      <c r="BC43" s="1" t="e">
        <f t="shared" si="69"/>
        <v>#N/A</v>
      </c>
      <c r="BD43" s="1" t="e">
        <f t="shared" si="70"/>
        <v>#N/A</v>
      </c>
      <c r="BE43" s="1"/>
      <c r="BF43" s="1"/>
      <c r="BG43" s="1">
        <f t="shared" si="49"/>
        <v>2185</v>
      </c>
      <c r="BH43" s="1">
        <f t="shared" si="50"/>
        <v>-218.5</v>
      </c>
      <c r="BI43" s="1"/>
      <c r="BJ43" s="1">
        <f t="shared" si="51"/>
        <v>5370.1847691207204</v>
      </c>
      <c r="BK43" s="1">
        <f t="shared" si="52"/>
        <v>-1762.4124509495846</v>
      </c>
      <c r="BL43" s="1"/>
      <c r="BM43" s="1">
        <f t="shared" si="53"/>
        <v>3954.3094982085431</v>
      </c>
      <c r="BN43" s="1">
        <f t="shared" si="54"/>
        <v>-5123.6384866964127</v>
      </c>
      <c r="BO43" s="1"/>
      <c r="BP43" s="1">
        <f t="shared" si="55"/>
        <v>180.50084740367402</v>
      </c>
      <c r="BQ43" s="1">
        <f t="shared" si="56"/>
        <v>-6188.614581054765</v>
      </c>
      <c r="BR43" s="1"/>
      <c r="BS43" s="1">
        <f t="shared" si="57"/>
        <v>-1294.4662231434631</v>
      </c>
      <c r="BT43" s="1">
        <f t="shared" si="58"/>
        <v>-3537.5202326332151</v>
      </c>
      <c r="BU43" s="1"/>
      <c r="BV43" s="1">
        <f t="shared" si="59"/>
        <v>-707.63433513169639</v>
      </c>
      <c r="BW43" s="1">
        <f t="shared" si="60"/>
        <v>-1142.8950405537253</v>
      </c>
      <c r="BX43" s="1"/>
      <c r="BY43" s="1">
        <f t="shared" si="61"/>
        <v>0</v>
      </c>
      <c r="BZ43" s="1">
        <f t="shared" si="62"/>
        <v>0</v>
      </c>
      <c r="CA43" s="1"/>
      <c r="CB43" s="1">
        <f t="shared" si="63"/>
        <v>0</v>
      </c>
      <c r="CC43" s="1">
        <f t="shared" si="64"/>
        <v>0</v>
      </c>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96"/>
      <c r="EA43" s="96"/>
      <c r="EB43" s="96"/>
      <c r="EC43" s="1"/>
      <c r="ED43" s="1"/>
    </row>
    <row r="44" spans="1:134" ht="18" x14ac:dyDescent="0.25">
      <c r="A44" s="1"/>
      <c r="B44" s="1">
        <v>20</v>
      </c>
      <c r="C44" s="77" t="str">
        <f>IF(G7=8,"F-H","")</f>
        <v/>
      </c>
      <c r="D44" s="115" t="str">
        <f>Print!D47</f>
        <v>-</v>
      </c>
      <c r="E44" s="1"/>
      <c r="F44" s="1"/>
      <c r="G44" s="1"/>
      <c r="H44" s="1"/>
      <c r="I44" s="1"/>
      <c r="J44" s="1"/>
      <c r="K44" s="1"/>
      <c r="L44" s="1"/>
      <c r="M44" s="1"/>
      <c r="N44" s="1"/>
      <c r="O44" s="1"/>
      <c r="P44" s="1"/>
      <c r="Y44" s="110" t="e">
        <f t="shared" si="31"/>
        <v>#VALUE!</v>
      </c>
      <c r="AA44" s="1">
        <f t="shared" si="32"/>
        <v>0</v>
      </c>
      <c r="AM44" s="133">
        <f>AM21</f>
        <v>-1078.4162686017535</v>
      </c>
      <c r="AN44" s="1">
        <f>AN21</f>
        <v>-4789.2503841589787</v>
      </c>
      <c r="AQ44" s="134"/>
      <c r="AV44" s="1"/>
      <c r="AW44" s="1"/>
      <c r="AX44" s="1" t="str">
        <f t="shared" si="65"/>
        <v>F-A</v>
      </c>
      <c r="AY44" s="1">
        <f t="shared" si="66"/>
        <v>0.86085913031582306</v>
      </c>
      <c r="AZ44" s="1">
        <f t="shared" si="67"/>
        <v>0</v>
      </c>
      <c r="BA44" s="1"/>
      <c r="BB44" s="1" t="e">
        <f t="shared" si="68"/>
        <v>#N/A</v>
      </c>
      <c r="BC44" s="1" t="e">
        <f t="shared" si="69"/>
        <v>#N/A</v>
      </c>
      <c r="BD44" s="1" t="e">
        <f t="shared" si="70"/>
        <v>#N/A</v>
      </c>
      <c r="BE44" s="1"/>
      <c r="BF44" s="1"/>
      <c r="BG44" s="1">
        <f t="shared" si="49"/>
        <v>2622</v>
      </c>
      <c r="BH44" s="1">
        <f t="shared" si="50"/>
        <v>-209.84313880663831</v>
      </c>
      <c r="BI44" s="1"/>
      <c r="BJ44" s="1">
        <f t="shared" si="51"/>
        <v>5626.4643173117765</v>
      </c>
      <c r="BK44" s="1">
        <f t="shared" si="52"/>
        <v>-2114.8949411395015</v>
      </c>
      <c r="BL44" s="1"/>
      <c r="BM44" s="1">
        <f t="shared" si="53"/>
        <v>3364.7640751957897</v>
      </c>
      <c r="BN44" s="1">
        <f t="shared" si="54"/>
        <v>-5535.4612230184321</v>
      </c>
      <c r="BO44" s="1"/>
      <c r="BP44" s="1">
        <f t="shared" si="55"/>
        <v>-30.274508850561688</v>
      </c>
      <c r="BQ44" s="1">
        <f t="shared" si="56"/>
        <v>-5908.741741675608</v>
      </c>
      <c r="BR44" s="1"/>
      <c r="BS44" s="1">
        <f t="shared" si="57"/>
        <v>-1368.5452496563412</v>
      </c>
      <c r="BT44" s="1">
        <f t="shared" si="58"/>
        <v>-3287.1742023280622</v>
      </c>
      <c r="BU44" s="1"/>
      <c r="BV44" s="1">
        <f t="shared" si="59"/>
        <v>-541.98839432196201</v>
      </c>
      <c r="BW44" s="1">
        <f t="shared" si="60"/>
        <v>-914.31603244298026</v>
      </c>
      <c r="BX44" s="1"/>
      <c r="BY44" s="1">
        <f t="shared" si="61"/>
        <v>0</v>
      </c>
      <c r="BZ44" s="1">
        <f t="shared" si="62"/>
        <v>0</v>
      </c>
      <c r="CA44" s="1"/>
      <c r="CB44" s="1">
        <f t="shared" si="63"/>
        <v>0</v>
      </c>
      <c r="CC44" s="1">
        <f t="shared" si="64"/>
        <v>0</v>
      </c>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96"/>
      <c r="EA44" s="96"/>
      <c r="EB44" s="96"/>
      <c r="EC44" s="1"/>
      <c r="ED44" s="1"/>
    </row>
    <row r="45" spans="1:134" x14ac:dyDescent="0.2">
      <c r="A45" s="1"/>
      <c r="B45" s="1"/>
      <c r="C45" s="77"/>
      <c r="D45" s="1"/>
      <c r="E45" s="1"/>
      <c r="F45" s="1"/>
      <c r="G45" s="1"/>
      <c r="H45" s="1"/>
      <c r="I45" s="1"/>
      <c r="J45" s="1"/>
      <c r="K45" s="1"/>
      <c r="L45" s="1"/>
      <c r="M45" s="1"/>
      <c r="N45" s="1"/>
      <c r="O45" s="1"/>
      <c r="P45" s="1"/>
      <c r="AM45" s="133">
        <f>AM24</f>
        <v>-1780.3325820217724</v>
      </c>
      <c r="AN45" s="1">
        <f>AN24</f>
        <v>-2285.7900811074505</v>
      </c>
      <c r="AP45" s="1" t="s">
        <v>195</v>
      </c>
      <c r="AQ45" s="134" t="s">
        <v>196</v>
      </c>
      <c r="AV45" s="1"/>
      <c r="AW45" s="1"/>
      <c r="AX45" s="1" t="str">
        <f t="shared" si="65"/>
        <v/>
      </c>
      <c r="AY45" s="1">
        <f t="shared" si="66"/>
        <v>0</v>
      </c>
      <c r="AZ45" s="1" t="e">
        <f t="shared" si="67"/>
        <v>#VALUE!</v>
      </c>
      <c r="BA45" s="1"/>
      <c r="BB45" s="1" t="e">
        <f t="shared" si="68"/>
        <v>#N/A</v>
      </c>
      <c r="BC45" s="1" t="e">
        <f t="shared" si="69"/>
        <v>#N/A</v>
      </c>
      <c r="BD45" s="1" t="e">
        <f t="shared" si="70"/>
        <v>#N/A</v>
      </c>
      <c r="BE45" s="1"/>
      <c r="BF45" s="1"/>
      <c r="BG45" s="1">
        <f t="shared" si="49"/>
        <v>3059</v>
      </c>
      <c r="BH45" s="1">
        <f t="shared" si="50"/>
        <v>-183.83167670480179</v>
      </c>
      <c r="BI45" s="1"/>
      <c r="BJ45" s="1">
        <f t="shared" si="51"/>
        <v>5905.1774976045726</v>
      </c>
      <c r="BK45" s="1">
        <f t="shared" si="52"/>
        <v>-2467.3774313294184</v>
      </c>
      <c r="BL45" s="1"/>
      <c r="BM45" s="1">
        <f t="shared" si="53"/>
        <v>2775.2186521830363</v>
      </c>
      <c r="BN45" s="1">
        <f t="shared" si="54"/>
        <v>-5983.7496818640047</v>
      </c>
      <c r="BO45" s="1"/>
      <c r="BP45" s="1">
        <f t="shared" si="55"/>
        <v>-259.33718930772648</v>
      </c>
      <c r="BQ45" s="1">
        <f t="shared" si="56"/>
        <v>-5628.8689022964509</v>
      </c>
      <c r="BR45" s="1"/>
      <c r="BS45" s="1">
        <f t="shared" si="57"/>
        <v>-1453.6583632682241</v>
      </c>
      <c r="BT45" s="1">
        <f t="shared" si="58"/>
        <v>-3036.8281720229093</v>
      </c>
      <c r="BU45" s="1"/>
      <c r="BV45" s="1">
        <f t="shared" si="59"/>
        <v>-389.26880118753616</v>
      </c>
      <c r="BW45" s="1">
        <f t="shared" si="60"/>
        <v>-685.73702433223525</v>
      </c>
      <c r="BX45" s="1"/>
      <c r="BY45" s="1">
        <f t="shared" si="61"/>
        <v>0</v>
      </c>
      <c r="BZ45" s="1">
        <f t="shared" si="62"/>
        <v>0</v>
      </c>
      <c r="CA45" s="1"/>
      <c r="CB45" s="1">
        <f t="shared" si="63"/>
        <v>0</v>
      </c>
      <c r="CC45" s="1">
        <f t="shared" si="64"/>
        <v>0</v>
      </c>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96"/>
      <c r="EA45" s="96"/>
      <c r="EB45" s="96"/>
      <c r="EC45" s="1"/>
      <c r="ED45" s="1"/>
    </row>
    <row r="46" spans="1:134" x14ac:dyDescent="0.2">
      <c r="A46" s="1"/>
      <c r="B46" s="1"/>
      <c r="C46" s="1">
        <v>1</v>
      </c>
      <c r="D46" s="1">
        <v>2</v>
      </c>
      <c r="E46" s="1">
        <v>3</v>
      </c>
      <c r="F46" s="1"/>
      <c r="G46" s="1">
        <v>5</v>
      </c>
      <c r="H46" s="1">
        <v>6</v>
      </c>
      <c r="I46" s="1">
        <v>7</v>
      </c>
      <c r="J46" s="1">
        <v>8</v>
      </c>
      <c r="K46" s="1">
        <v>9</v>
      </c>
      <c r="L46" s="1">
        <v>10</v>
      </c>
      <c r="M46" s="1">
        <v>11</v>
      </c>
      <c r="N46" s="1">
        <v>12</v>
      </c>
      <c r="O46" s="1">
        <v>13</v>
      </c>
      <c r="P46" s="1">
        <v>14</v>
      </c>
      <c r="Q46" s="1">
        <v>15</v>
      </c>
      <c r="R46" s="1">
        <v>16</v>
      </c>
      <c r="S46" s="1">
        <v>17</v>
      </c>
      <c r="T46" s="1">
        <v>18</v>
      </c>
      <c r="U46" s="1">
        <v>19</v>
      </c>
      <c r="V46" s="1">
        <v>20</v>
      </c>
      <c r="W46" s="1">
        <v>21</v>
      </c>
      <c r="X46" s="1">
        <v>22</v>
      </c>
      <c r="Y46" s="1">
        <v>23</v>
      </c>
      <c r="AM46" s="133"/>
      <c r="AQ46" s="134"/>
      <c r="AV46" s="1"/>
      <c r="AW46" s="1"/>
      <c r="AX46" s="1" t="str">
        <f t="shared" si="65"/>
        <v/>
      </c>
      <c r="AY46" s="1">
        <f t="shared" si="66"/>
        <v>0</v>
      </c>
      <c r="AZ46" s="1" t="e">
        <f t="shared" si="67"/>
        <v>#VALUE!</v>
      </c>
      <c r="BA46" s="1"/>
      <c r="BB46" s="1" t="e">
        <f t="shared" si="68"/>
        <v>#N/A</v>
      </c>
      <c r="BC46" s="1" t="e">
        <f t="shared" si="69"/>
        <v>#N/A</v>
      </c>
      <c r="BD46" s="1" t="e">
        <f t="shared" si="70"/>
        <v>#N/A</v>
      </c>
      <c r="BE46" s="1"/>
      <c r="BF46" s="1"/>
      <c r="BG46" s="1">
        <f t="shared" si="49"/>
        <v>3496</v>
      </c>
      <c r="BH46" s="1">
        <f t="shared" si="50"/>
        <v>-140.34200684714961</v>
      </c>
      <c r="BI46" s="1"/>
      <c r="BJ46" s="1">
        <f t="shared" si="51"/>
        <v>6208.6251601542444</v>
      </c>
      <c r="BK46" s="1">
        <f t="shared" si="52"/>
        <v>-2819.8599215193353</v>
      </c>
      <c r="BL46" s="1"/>
      <c r="BM46" s="1">
        <f t="shared" si="53"/>
        <v>2185.6732291702829</v>
      </c>
      <c r="BN46" s="1">
        <f t="shared" si="54"/>
        <v>-6472.0894607271293</v>
      </c>
      <c r="BO46" s="1"/>
      <c r="BP46" s="1">
        <f t="shared" si="55"/>
        <v>-508.63399769558691</v>
      </c>
      <c r="BQ46" s="1">
        <f t="shared" si="56"/>
        <v>-5348.9960629172938</v>
      </c>
      <c r="BR46" s="1"/>
      <c r="BS46" s="1">
        <f t="shared" si="57"/>
        <v>-1550.2693089098211</v>
      </c>
      <c r="BT46" s="1">
        <f t="shared" si="58"/>
        <v>-2786.4821417177563</v>
      </c>
      <c r="BU46" s="1"/>
      <c r="BV46" s="1">
        <f t="shared" si="59"/>
        <v>-248.53527981654588</v>
      </c>
      <c r="BW46" s="1">
        <f t="shared" si="60"/>
        <v>-457.15801622149019</v>
      </c>
      <c r="BX46" s="1"/>
      <c r="BY46" s="1">
        <f t="shared" si="61"/>
        <v>0</v>
      </c>
      <c r="BZ46" s="1">
        <f t="shared" si="62"/>
        <v>0</v>
      </c>
      <c r="CA46" s="1"/>
      <c r="CB46" s="1">
        <f t="shared" si="63"/>
        <v>0</v>
      </c>
      <c r="CC46" s="1">
        <f t="shared" si="64"/>
        <v>0</v>
      </c>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96"/>
      <c r="EA46" s="96"/>
      <c r="EB46" s="96"/>
      <c r="EC46" s="1"/>
      <c r="ED46" s="1"/>
    </row>
    <row r="47" spans="1:134" x14ac:dyDescent="0.2">
      <c r="A47" s="1"/>
      <c r="B47" s="1"/>
      <c r="C47" s="1"/>
      <c r="D47" s="1"/>
      <c r="E47" s="1"/>
      <c r="F47" s="1"/>
      <c r="G47" s="1"/>
      <c r="H47" s="1"/>
      <c r="I47" s="1"/>
      <c r="J47" s="1"/>
      <c r="K47" s="1"/>
      <c r="L47" s="1"/>
      <c r="M47" s="1"/>
      <c r="N47" s="1"/>
      <c r="O47" s="1"/>
      <c r="P47" s="1"/>
      <c r="AM47" s="133">
        <f>AM27</f>
        <v>0</v>
      </c>
      <c r="AN47" s="1">
        <f>AN27</f>
        <v>0</v>
      </c>
      <c r="AP47" s="1">
        <f>MAX(AM40:AM49)-MIN(AM40:AM49)</f>
        <v>8682.3691952940826</v>
      </c>
      <c r="AQ47" s="134">
        <f>MAX(AN40:AN49)-MIN(AN40:AN49)</f>
        <v>7587.9787779505505</v>
      </c>
      <c r="AV47" s="1"/>
      <c r="AW47" s="1"/>
      <c r="AX47" s="1"/>
      <c r="AY47" s="1"/>
      <c r="AZ47" s="1"/>
      <c r="BA47" s="1"/>
      <c r="BB47" s="1"/>
      <c r="BC47" s="1"/>
      <c r="BD47" s="1"/>
      <c r="BE47" s="1"/>
      <c r="BF47" s="1"/>
      <c r="BG47" s="1">
        <f t="shared" si="49"/>
        <v>3933</v>
      </c>
      <c r="BH47" s="1">
        <f t="shared" si="50"/>
        <v>-79.164825848802138</v>
      </c>
      <c r="BI47" s="1"/>
      <c r="BJ47" s="1">
        <f t="shared" si="51"/>
        <v>6539.6860684426283</v>
      </c>
      <c r="BK47" s="1">
        <f t="shared" si="52"/>
        <v>-3172.3424117092522</v>
      </c>
      <c r="BL47" s="1"/>
      <c r="BM47" s="1">
        <f t="shared" si="53"/>
        <v>1596.1278061575294</v>
      </c>
      <c r="BN47" s="1">
        <f t="shared" si="54"/>
        <v>-7004.9443277543633</v>
      </c>
      <c r="BO47" s="1"/>
      <c r="BP47" s="1">
        <f t="shared" si="55"/>
        <v>-780.61228608225247</v>
      </c>
      <c r="BQ47" s="1">
        <f t="shared" si="56"/>
        <v>-5069.1232235381367</v>
      </c>
      <c r="BR47" s="1"/>
      <c r="BS47" s="1">
        <f t="shared" si="57"/>
        <v>-1658.9365868992354</v>
      </c>
      <c r="BT47" s="1">
        <f t="shared" si="58"/>
        <v>-2536.1361114126034</v>
      </c>
      <c r="BU47" s="1"/>
      <c r="BV47" s="1">
        <f t="shared" si="59"/>
        <v>-119.0005798141683</v>
      </c>
      <c r="BW47" s="1">
        <f t="shared" si="60"/>
        <v>-228.57900811074512</v>
      </c>
      <c r="BX47" s="1"/>
      <c r="BY47" s="1">
        <f t="shared" si="61"/>
        <v>0</v>
      </c>
      <c r="BZ47" s="1">
        <f t="shared" si="62"/>
        <v>0</v>
      </c>
      <c r="CA47" s="1"/>
      <c r="CB47" s="1">
        <f t="shared" si="63"/>
        <v>0</v>
      </c>
      <c r="CC47" s="1">
        <f t="shared" si="64"/>
        <v>0</v>
      </c>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96"/>
      <c r="EA47" s="96"/>
      <c r="EB47" s="96"/>
      <c r="EC47" s="1"/>
      <c r="ED47" s="1"/>
    </row>
    <row r="48" spans="1:134" x14ac:dyDescent="0.2">
      <c r="A48" s="1"/>
      <c r="B48" s="1"/>
      <c r="C48" s="1"/>
      <c r="D48" s="1"/>
      <c r="E48" s="1"/>
      <c r="F48" s="1"/>
      <c r="G48" s="1"/>
      <c r="H48" s="1"/>
      <c r="I48" s="1"/>
      <c r="J48" s="1"/>
      <c r="K48" s="1"/>
      <c r="L48" s="1"/>
      <c r="M48" s="1"/>
      <c r="N48" s="1"/>
      <c r="O48" s="1"/>
      <c r="P48" s="1"/>
      <c r="AM48" s="133">
        <f>AM30</f>
        <v>0</v>
      </c>
      <c r="AN48" s="1">
        <f>AN30</f>
        <v>0</v>
      </c>
      <c r="AP48" s="1" t="s">
        <v>182</v>
      </c>
      <c r="AQ48" s="134" t="s">
        <v>183</v>
      </c>
      <c r="AV48" s="1"/>
      <c r="AW48" s="1"/>
      <c r="AX48" s="1"/>
      <c r="AY48" s="1"/>
      <c r="AZ48" s="1"/>
      <c r="BA48" s="1"/>
      <c r="BB48" s="1"/>
      <c r="BC48" s="1"/>
      <c r="BD48" s="1"/>
      <c r="BE48" s="1"/>
      <c r="BF48" s="1"/>
      <c r="BG48" s="1">
        <f t="shared" si="49"/>
        <v>4370</v>
      </c>
      <c r="BH48" s="1">
        <f t="shared" si="50"/>
        <v>0</v>
      </c>
      <c r="BI48" s="1"/>
      <c r="BJ48" s="1">
        <f t="shared" si="51"/>
        <v>6902.0366132723093</v>
      </c>
      <c r="BK48" s="1">
        <f t="shared" si="52"/>
        <v>-3524.8249018991692</v>
      </c>
      <c r="BL48" s="1"/>
      <c r="BM48" s="1">
        <f t="shared" si="53"/>
        <v>1006.582383144776</v>
      </c>
      <c r="BN48" s="1">
        <f t="shared" si="54"/>
        <v>-7587.978777950555</v>
      </c>
      <c r="BO48" s="1"/>
      <c r="BP48" s="1">
        <f t="shared" si="55"/>
        <v>-1078.4162686017517</v>
      </c>
      <c r="BQ48" s="1">
        <f t="shared" si="56"/>
        <v>-4789.2503841589796</v>
      </c>
      <c r="BR48" s="1"/>
      <c r="BS48" s="1">
        <f t="shared" si="57"/>
        <v>-1780.3325820217715</v>
      </c>
      <c r="BT48" s="1">
        <f t="shared" si="58"/>
        <v>-2285.7900811074505</v>
      </c>
      <c r="BU48" s="1"/>
      <c r="BV48" s="1">
        <f t="shared" si="59"/>
        <v>0</v>
      </c>
      <c r="BW48" s="1">
        <f t="shared" si="60"/>
        <v>0</v>
      </c>
      <c r="BX48" s="1"/>
      <c r="BY48" s="1">
        <f t="shared" si="61"/>
        <v>0</v>
      </c>
      <c r="BZ48" s="1">
        <f t="shared" si="62"/>
        <v>0</v>
      </c>
      <c r="CA48" s="1"/>
      <c r="CB48" s="1">
        <f t="shared" si="63"/>
        <v>0</v>
      </c>
      <c r="CC48" s="1">
        <f t="shared" si="64"/>
        <v>0</v>
      </c>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96"/>
      <c r="EA48" s="96"/>
      <c r="EB48" s="96"/>
      <c r="EC48" s="1"/>
      <c r="ED48" s="1"/>
    </row>
    <row r="49" spans="1:134" x14ac:dyDescent="0.2">
      <c r="A49" s="1"/>
      <c r="B49" s="1"/>
      <c r="C49" s="1"/>
      <c r="D49" s="1"/>
      <c r="E49" s="1"/>
      <c r="F49" s="1"/>
      <c r="G49" s="1"/>
      <c r="H49" s="1"/>
      <c r="I49" s="1"/>
      <c r="J49" s="1"/>
      <c r="K49" s="1"/>
      <c r="L49" s="1"/>
      <c r="M49" s="1"/>
      <c r="N49" s="1"/>
      <c r="O49" s="1"/>
      <c r="P49" s="1"/>
      <c r="AM49" s="133">
        <f>AM33</f>
        <v>0</v>
      </c>
      <c r="AN49" s="1">
        <f>AN33</f>
        <v>0</v>
      </c>
      <c r="AP49" s="1">
        <f>MIN(AM40:AM49)</f>
        <v>-1780.3325820217724</v>
      </c>
      <c r="AQ49" s="134">
        <f>MIN(AN40:AN49)</f>
        <v>-7587.9787779505505</v>
      </c>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96"/>
      <c r="EA49" s="96"/>
      <c r="EB49" s="96"/>
      <c r="EC49" s="1"/>
      <c r="ED49" s="1"/>
    </row>
    <row r="50" spans="1:134" x14ac:dyDescent="0.2">
      <c r="A50" s="1"/>
      <c r="B50" s="1"/>
      <c r="C50" s="1"/>
      <c r="D50" s="1"/>
      <c r="E50" s="1"/>
      <c r="F50" s="1"/>
      <c r="G50" s="1"/>
      <c r="H50" s="1"/>
      <c r="I50" s="1"/>
      <c r="J50" s="1"/>
      <c r="K50" s="1"/>
      <c r="L50" s="1"/>
      <c r="M50" s="1"/>
      <c r="N50" s="1"/>
      <c r="O50" s="1"/>
      <c r="P50" s="1"/>
      <c r="AM50" s="133"/>
      <c r="AP50" s="1" t="s">
        <v>184</v>
      </c>
      <c r="AQ50" s="134" t="s">
        <v>185</v>
      </c>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96"/>
      <c r="EA50" s="96"/>
      <c r="EB50" s="96"/>
      <c r="EC50" s="1"/>
      <c r="ED50" s="1"/>
    </row>
    <row r="51" spans="1:134" x14ac:dyDescent="0.2">
      <c r="A51" s="1"/>
      <c r="B51" s="1"/>
      <c r="C51" s="1"/>
      <c r="D51" s="1"/>
      <c r="E51" s="1"/>
      <c r="F51" s="1"/>
      <c r="G51" s="1"/>
      <c r="H51" s="1"/>
      <c r="I51" s="1"/>
      <c r="J51" s="1"/>
      <c r="K51" s="1"/>
      <c r="L51" s="1"/>
      <c r="M51" s="1"/>
      <c r="N51" s="1"/>
      <c r="O51" s="1"/>
      <c r="P51" s="1"/>
      <c r="AM51" s="124"/>
      <c r="AN51" s="125"/>
      <c r="AO51" s="125"/>
      <c r="AP51" s="125">
        <f>MAX(AM40:AM49)</f>
        <v>6902.0366132723102</v>
      </c>
      <c r="AQ51" s="138">
        <f>MAX(AN40:AN49)</f>
        <v>0</v>
      </c>
      <c r="AV51" s="1"/>
      <c r="AW51" s="1"/>
      <c r="AX51" s="1"/>
      <c r="AY51" s="1"/>
      <c r="AZ51" s="1"/>
      <c r="BA51" s="1"/>
      <c r="BB51" s="1"/>
      <c r="BC51" s="5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96"/>
      <c r="EA51" s="96"/>
      <c r="EB51" s="96"/>
      <c r="EC51" s="1"/>
      <c r="ED51" s="1"/>
    </row>
    <row r="52" spans="1:134" x14ac:dyDescent="0.2">
      <c r="A52" s="1"/>
      <c r="B52" s="1"/>
      <c r="C52" s="1"/>
      <c r="D52" s="1"/>
      <c r="E52" s="1"/>
      <c r="F52" s="1"/>
      <c r="G52" s="1"/>
      <c r="H52" s="1"/>
      <c r="I52" s="1"/>
      <c r="J52" s="1"/>
      <c r="K52" s="1"/>
      <c r="L52" s="1"/>
      <c r="M52" s="1"/>
      <c r="N52" s="1"/>
      <c r="O52" s="1"/>
      <c r="P52" s="1"/>
      <c r="AV52" s="1"/>
      <c r="AW52" s="1"/>
      <c r="AX52" s="1"/>
      <c r="AY52" s="1"/>
      <c r="AZ52" s="1"/>
      <c r="BA52" s="1"/>
      <c r="BB52" s="1"/>
      <c r="BC52" s="52"/>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96"/>
      <c r="EA52" s="96"/>
      <c r="EB52" s="96"/>
      <c r="EC52" s="1"/>
      <c r="ED52" s="1"/>
    </row>
    <row r="53" spans="1:134" x14ac:dyDescent="0.2">
      <c r="A53" s="1"/>
      <c r="B53" s="1"/>
      <c r="C53" s="1"/>
      <c r="D53" s="1"/>
      <c r="E53" s="1"/>
      <c r="F53" s="1"/>
      <c r="G53" s="1"/>
      <c r="H53" s="1"/>
      <c r="I53" s="1"/>
      <c r="J53" s="1"/>
      <c r="K53" s="1"/>
      <c r="L53" s="1"/>
      <c r="M53" s="1"/>
      <c r="N53" s="1"/>
      <c r="O53" s="1"/>
      <c r="P53" s="1"/>
      <c r="AV53" s="1"/>
      <c r="AW53" s="1"/>
      <c r="AX53" s="1"/>
      <c r="AY53" s="1"/>
      <c r="AZ53" s="1"/>
      <c r="BA53" s="1"/>
      <c r="BB53" s="1"/>
      <c r="BC53" s="52"/>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96"/>
      <c r="EA53" s="96"/>
      <c r="EB53" s="96"/>
      <c r="EC53" s="1"/>
      <c r="ED53" s="1"/>
    </row>
    <row r="54" spans="1:134" x14ac:dyDescent="0.2">
      <c r="A54" s="1"/>
      <c r="B54" s="1"/>
      <c r="C54" s="1"/>
      <c r="D54" s="1"/>
      <c r="E54" s="1"/>
      <c r="F54" s="1"/>
      <c r="G54" s="1"/>
      <c r="H54" s="1"/>
      <c r="I54" s="1"/>
      <c r="J54" s="1"/>
      <c r="K54" s="1"/>
      <c r="L54" s="1"/>
      <c r="M54" s="1"/>
      <c r="N54" s="1"/>
      <c r="O54" s="1"/>
      <c r="P54" s="1"/>
      <c r="AV54" s="1"/>
      <c r="AW54" s="1"/>
      <c r="AX54" s="1"/>
      <c r="AY54" s="1"/>
      <c r="AZ54" s="1"/>
      <c r="BA54" s="1"/>
      <c r="BB54" s="1"/>
      <c r="BC54" s="52"/>
      <c r="BD54" s="1"/>
      <c r="BE54" s="1"/>
      <c r="BF54" s="1"/>
      <c r="BG54" s="1"/>
      <c r="BH54" s="1" t="s">
        <v>197</v>
      </c>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96"/>
      <c r="EA54" s="96"/>
      <c r="EB54" s="96"/>
      <c r="EC54" s="1"/>
      <c r="ED54" s="1"/>
    </row>
    <row r="55" spans="1:134" x14ac:dyDescent="0.2">
      <c r="A55" s="1"/>
      <c r="B55" s="1"/>
      <c r="C55" s="1"/>
      <c r="D55" s="1"/>
      <c r="E55" s="1"/>
      <c r="F55" s="1"/>
      <c r="G55" s="1"/>
      <c r="H55" s="1"/>
      <c r="I55" s="1"/>
      <c r="J55" s="1"/>
      <c r="K55" s="1"/>
      <c r="L55" s="1"/>
      <c r="M55" s="1"/>
      <c r="N55" s="1"/>
      <c r="O55" s="1"/>
      <c r="P55" s="1"/>
      <c r="AV55" s="1"/>
      <c r="AW55" s="1"/>
      <c r="AX55" s="1"/>
      <c r="AY55" s="1"/>
      <c r="AZ55" s="1"/>
      <c r="BA55" s="1"/>
      <c r="BB55" s="1"/>
      <c r="BC55" s="52"/>
      <c r="BD55" s="1"/>
      <c r="BE55" s="1"/>
      <c r="BF55" s="1"/>
      <c r="BG55" s="1" t="s">
        <v>149</v>
      </c>
      <c r="BH55" s="1"/>
      <c r="BI55" s="1"/>
      <c r="BJ55" s="1" t="s">
        <v>150</v>
      </c>
      <c r="BK55" s="1"/>
      <c r="BL55" s="1"/>
      <c r="BM55" s="1" t="s">
        <v>151</v>
      </c>
      <c r="BN55" s="1"/>
      <c r="BO55" s="1"/>
      <c r="BP55" s="1" t="s">
        <v>152</v>
      </c>
      <c r="BQ55" s="1"/>
      <c r="BR55" s="1"/>
      <c r="BS55" s="1" t="s">
        <v>153</v>
      </c>
      <c r="BT55" s="1"/>
      <c r="BU55" s="1"/>
      <c r="BV55" s="1" t="s">
        <v>154</v>
      </c>
      <c r="BW55" s="1"/>
      <c r="BX55" s="1"/>
      <c r="BY55" s="1" t="s">
        <v>155</v>
      </c>
      <c r="BZ55" s="1"/>
      <c r="CA55" s="1"/>
      <c r="CB55" s="1" t="s">
        <v>156</v>
      </c>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96"/>
      <c r="EA55" s="96"/>
      <c r="EB55" s="96"/>
      <c r="EC55" s="1"/>
      <c r="ED55" s="1"/>
    </row>
    <row r="56" spans="1:134" x14ac:dyDescent="0.2">
      <c r="A56" s="1"/>
      <c r="B56" s="1"/>
      <c r="C56" s="1"/>
      <c r="D56" s="308" t="s">
        <v>198</v>
      </c>
      <c r="E56" s="308"/>
      <c r="F56" s="308"/>
      <c r="G56" s="308"/>
      <c r="H56" s="308"/>
      <c r="I56" s="308"/>
      <c r="J56" s="308"/>
      <c r="K56" s="308"/>
      <c r="L56" s="308"/>
      <c r="M56" s="308"/>
      <c r="N56" s="308"/>
      <c r="O56" s="1"/>
      <c r="P56" s="1"/>
      <c r="AV56" s="1"/>
      <c r="AW56" s="1"/>
      <c r="AX56" s="1"/>
      <c r="AY56" s="1"/>
      <c r="AZ56" s="1"/>
      <c r="BA56" s="1"/>
      <c r="BB56" s="1"/>
      <c r="BC56" s="52"/>
      <c r="BD56" s="1"/>
      <c r="BE56" s="1"/>
      <c r="BF56" s="1"/>
      <c r="BG56" s="1"/>
      <c r="BH56" s="1" t="s">
        <v>158</v>
      </c>
      <c r="BI56" s="1" t="s">
        <v>159</v>
      </c>
      <c r="BJ56" s="1"/>
      <c r="BK56" s="1" t="s">
        <v>158</v>
      </c>
      <c r="BL56" s="1" t="s">
        <v>159</v>
      </c>
      <c r="BM56" s="1"/>
      <c r="BN56" s="1" t="s">
        <v>158</v>
      </c>
      <c r="BO56" s="1" t="s">
        <v>159</v>
      </c>
      <c r="BP56" s="1"/>
      <c r="BQ56" s="1" t="s">
        <v>158</v>
      </c>
      <c r="BR56" s="1" t="s">
        <v>159</v>
      </c>
      <c r="BS56" s="1"/>
      <c r="BT56" s="1" t="s">
        <v>158</v>
      </c>
      <c r="BU56" s="1" t="s">
        <v>159</v>
      </c>
      <c r="BV56" s="1"/>
      <c r="BW56" s="1" t="s">
        <v>158</v>
      </c>
      <c r="BX56" s="1" t="s">
        <v>159</v>
      </c>
      <c r="BY56" s="1"/>
      <c r="BZ56" s="1" t="s">
        <v>158</v>
      </c>
      <c r="CA56" s="1" t="s">
        <v>159</v>
      </c>
      <c r="CB56" s="1"/>
      <c r="CC56" s="1" t="s">
        <v>158</v>
      </c>
      <c r="CD56" s="1" t="s">
        <v>159</v>
      </c>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96"/>
      <c r="EA56" s="96"/>
      <c r="EB56" s="96"/>
      <c r="EC56" s="1"/>
      <c r="ED56" s="1"/>
    </row>
    <row r="57" spans="1:134" x14ac:dyDescent="0.2">
      <c r="A57" s="1"/>
      <c r="B57" s="1"/>
      <c r="C57" s="1"/>
      <c r="D57" s="308"/>
      <c r="E57" s="308"/>
      <c r="F57" s="308"/>
      <c r="G57" s="308"/>
      <c r="H57" s="308"/>
      <c r="I57" s="308"/>
      <c r="J57" s="308"/>
      <c r="K57" s="308"/>
      <c r="L57" s="308"/>
      <c r="M57" s="308"/>
      <c r="N57" s="308"/>
      <c r="O57" s="1"/>
      <c r="P57" s="1"/>
      <c r="AV57" s="1"/>
      <c r="AW57" s="1"/>
      <c r="AX57" s="1"/>
      <c r="AY57" s="1"/>
      <c r="AZ57" s="1"/>
      <c r="BA57" s="1"/>
      <c r="BB57" s="1"/>
      <c r="BC57" s="1"/>
      <c r="BD57" s="1"/>
      <c r="BE57" s="1"/>
      <c r="BF57" s="1"/>
      <c r="BG57" s="1" t="s">
        <v>199</v>
      </c>
      <c r="BH57" s="1">
        <f>IF(ISERROR(250*COS(AL11)),0,-250*COS(AL11))</f>
        <v>-190.72903705342094</v>
      </c>
      <c r="BI57" s="1">
        <f>IF(ISERROR(250*SIN(AL11)),0,-250*SIN(AL11))</f>
        <v>161.62436210137008</v>
      </c>
      <c r="BJ57" s="1" t="s">
        <v>200</v>
      </c>
      <c r="BK57" s="110">
        <f>IF(ISERROR(250*COS(AL12)),0,-250*COS(AL12))+AG11</f>
        <v>4484.0971934242489</v>
      </c>
      <c r="BL57" s="1">
        <f>IF(ISERROR(250*SIN(AL12)),0,-250*SIN(AL12))+AH11</f>
        <v>222.44511784417654</v>
      </c>
      <c r="BM57" s="1" t="s">
        <v>200</v>
      </c>
      <c r="BN57" s="1">
        <f>IF(ISERROR(250*COS(AL13)),0,-250*COS(AL13))+AG12</f>
        <v>7148.3386615823856</v>
      </c>
      <c r="BO57" s="1">
        <f>IF(ISERROR(250*SIN(AL13)),0,-250*SIN(AL13))+AH12</f>
        <v>-3567.6653150421507</v>
      </c>
      <c r="BP57" s="1" t="s">
        <v>200</v>
      </c>
      <c r="BQ57" s="1">
        <f>IF(ISERROR(250*COS(AL14)),0,-250*COS(AL14))+AG13</f>
        <v>965.88016094290151</v>
      </c>
      <c r="BR57" s="1">
        <f>IF(ISERROR(250*SIN(AL14)),0,-250*SIN(AL14))+AH13</f>
        <v>-7834.6431837893933</v>
      </c>
      <c r="BS57" s="1" t="s">
        <v>200</v>
      </c>
      <c r="BT57" s="1">
        <f>IF(ISERROR(250*COS(AL15)),0,-250*COS(AL15))+AG14</f>
        <v>-1302.7811645172646</v>
      </c>
      <c r="BU57" s="1">
        <f>IF(ISERROR(250*SIN(AL15)),0,-250*SIN(AL15))+AH14</f>
        <v>-4899.5245582924617</v>
      </c>
      <c r="BV57" s="1" t="s">
        <v>200</v>
      </c>
      <c r="BW57" s="1">
        <f>IF(ISERROR(250*COS(AL16)),0,-250*COS(AL16))+AG15</f>
        <v>-2006.8836069573733</v>
      </c>
      <c r="BX57" s="1">
        <f>IF(ISERROR(250*SIN(AL16)),0,-250*SIN(AL16))+AH15</f>
        <v>-2180.0799439368425</v>
      </c>
      <c r="BY57" s="1" t="s">
        <v>200</v>
      </c>
      <c r="BZ57" s="1">
        <f>IF(ISERROR(250*COS(AL17)),0,-250*COS(AL17))+AG16</f>
        <v>227.83368377724321</v>
      </c>
      <c r="CA57" s="1">
        <f>IF(ISERROR(250*SIN(AL17)),0,-250*SIN(AL17))+AH16</f>
        <v>102.91653189109685</v>
      </c>
      <c r="CB57" s="1" t="s">
        <v>200</v>
      </c>
      <c r="CC57" s="1">
        <f>IF(ISERROR(250*COS(AL18)),0,-250*COS(AL18))+AG17</f>
        <v>-227.83368377724321</v>
      </c>
      <c r="CD57" s="1">
        <f>IF(ISERROR(250*SIN(AL18)),0,-250*SIN(AL18))+AH17</f>
        <v>-102.91653189109677</v>
      </c>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96"/>
      <c r="EA57" s="96"/>
      <c r="EB57" s="96"/>
      <c r="EC57" s="1"/>
      <c r="ED57" s="1"/>
    </row>
    <row r="58" spans="1:134" x14ac:dyDescent="0.2">
      <c r="A58" s="1"/>
      <c r="B58" s="1"/>
      <c r="C58" s="1"/>
      <c r="D58" s="308"/>
      <c r="E58" s="308"/>
      <c r="F58" s="308"/>
      <c r="G58" s="308"/>
      <c r="H58" s="308"/>
      <c r="I58" s="308"/>
      <c r="J58" s="308"/>
      <c r="K58" s="308"/>
      <c r="L58" s="308"/>
      <c r="M58" s="308"/>
      <c r="N58" s="308"/>
      <c r="O58" s="1"/>
      <c r="P58" s="1"/>
      <c r="AV58" s="1"/>
      <c r="AW58" s="1"/>
      <c r="AX58" s="1"/>
      <c r="AY58" s="1"/>
      <c r="AZ58" s="1"/>
      <c r="BA58" s="1"/>
      <c r="BB58" s="1"/>
      <c r="BC58" s="1"/>
      <c r="BD58" s="1"/>
      <c r="BE58" s="1"/>
      <c r="BF58" s="1"/>
      <c r="BG58" s="1">
        <v>1</v>
      </c>
      <c r="BH58" s="1">
        <f>BH57-100</f>
        <v>-290.72903705342094</v>
      </c>
      <c r="BI58" s="1">
        <f>BI57-100</f>
        <v>61.624362101370082</v>
      </c>
      <c r="BJ58" s="1">
        <v>1</v>
      </c>
      <c r="BK58" s="1">
        <f>BK57-100</f>
        <v>4384.0971934242489</v>
      </c>
      <c r="BL58" s="1">
        <f>BL57+150</f>
        <v>372.44511784417654</v>
      </c>
      <c r="BM58" s="1">
        <v>1</v>
      </c>
      <c r="BN58" s="1">
        <f>BN57+100</f>
        <v>7248.3386615823856</v>
      </c>
      <c r="BO58" s="1">
        <f>BO57-100</f>
        <v>-3667.6653150421507</v>
      </c>
      <c r="BP58" s="1">
        <v>1</v>
      </c>
      <c r="BQ58" s="1">
        <f>BQ57-100</f>
        <v>865.88016094290151</v>
      </c>
      <c r="BR58" s="1">
        <f>BR57+150</f>
        <v>-7684.6431837893933</v>
      </c>
      <c r="BS58" s="1">
        <v>1</v>
      </c>
      <c r="BT58" s="1">
        <f>BT57+100</f>
        <v>-1202.7811645172646</v>
      </c>
      <c r="BU58" s="1">
        <f>BU57-150</f>
        <v>-5049.5245582924617</v>
      </c>
      <c r="BV58" s="1">
        <v>1</v>
      </c>
      <c r="BW58" s="1">
        <f>BW57-100</f>
        <v>-2106.8836069573736</v>
      </c>
      <c r="BX58" s="1">
        <f>BX57-150</f>
        <v>-2330.0799439368425</v>
      </c>
      <c r="BY58" s="1">
        <v>1</v>
      </c>
      <c r="BZ58" s="1">
        <f>BZ57+100</f>
        <v>327.83368377724321</v>
      </c>
      <c r="CA58" s="1">
        <f>CA57+150</f>
        <v>252.91653189109684</v>
      </c>
      <c r="CB58" s="1">
        <v>1</v>
      </c>
      <c r="CC58" s="1">
        <f>CC57-100</f>
        <v>-327.83368377724321</v>
      </c>
      <c r="CD58" s="1">
        <f>CD57+150</f>
        <v>47.083468108903233</v>
      </c>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96"/>
      <c r="EA58" s="96"/>
      <c r="EB58" s="96"/>
      <c r="EC58" s="1"/>
      <c r="ED58" s="1"/>
    </row>
    <row r="59" spans="1:134" x14ac:dyDescent="0.2">
      <c r="A59" s="1"/>
      <c r="B59" s="1"/>
      <c r="C59" s="1"/>
      <c r="D59" s="1"/>
      <c r="E59" s="1"/>
      <c r="F59" s="1"/>
      <c r="G59" s="1"/>
      <c r="H59" s="1"/>
      <c r="I59" s="1"/>
      <c r="J59" s="1"/>
      <c r="K59" s="1"/>
      <c r="L59" s="1"/>
      <c r="M59" s="1"/>
      <c r="N59" s="1"/>
      <c r="O59" s="1"/>
      <c r="P59" s="1"/>
      <c r="AV59" s="1"/>
      <c r="AW59" s="1"/>
      <c r="AX59" s="1"/>
      <c r="AY59" s="1"/>
      <c r="AZ59" s="1"/>
      <c r="BA59" s="1"/>
      <c r="BB59" s="1"/>
      <c r="BC59" s="1"/>
      <c r="BD59" s="1"/>
      <c r="BE59" s="1"/>
      <c r="BF59" s="1"/>
      <c r="BG59" s="1">
        <v>2</v>
      </c>
      <c r="BH59" s="1">
        <f>BH57-100</f>
        <v>-290.72903705342094</v>
      </c>
      <c r="BI59" s="1">
        <f>BI57</f>
        <v>161.62436210137008</v>
      </c>
      <c r="BJ59" s="1">
        <v>2</v>
      </c>
      <c r="BK59" s="1">
        <f>BK57-50</f>
        <v>4434.0971934242489</v>
      </c>
      <c r="BL59" s="1">
        <f>BL57+150</f>
        <v>372.44511784417654</v>
      </c>
      <c r="BM59" s="1">
        <v>2</v>
      </c>
      <c r="BN59" s="1">
        <f>BN57+50</f>
        <v>7198.3386615823856</v>
      </c>
      <c r="BO59" s="1">
        <f>BO57-150</f>
        <v>-3717.6653150421507</v>
      </c>
      <c r="BP59" s="1">
        <v>2</v>
      </c>
      <c r="BQ59" s="1">
        <f>BQ57-50</f>
        <v>915.88016094290151</v>
      </c>
      <c r="BR59" s="1">
        <f>BR57+150</f>
        <v>-7684.6431837893933</v>
      </c>
      <c r="BS59" s="1">
        <v>2</v>
      </c>
      <c r="BT59" s="1">
        <f>BT57-100</f>
        <v>-1402.7811645172646</v>
      </c>
      <c r="BU59" s="1">
        <f>BU57-150</f>
        <v>-5049.5245582924617</v>
      </c>
      <c r="BV59" s="1">
        <v>2</v>
      </c>
      <c r="BW59" s="1">
        <f>BW57-100</f>
        <v>-2106.8836069573736</v>
      </c>
      <c r="BX59" s="1">
        <f>BX57</f>
        <v>-2180.0799439368425</v>
      </c>
      <c r="BY59" s="1">
        <v>2</v>
      </c>
      <c r="BZ59" s="1">
        <f>BZ57-50</f>
        <v>177.83368377724321</v>
      </c>
      <c r="CA59" s="1">
        <f>CA57+150</f>
        <v>252.91653189109684</v>
      </c>
      <c r="CB59" s="1">
        <v>2</v>
      </c>
      <c r="CC59" s="1">
        <f>CC57-100</f>
        <v>-327.83368377724321</v>
      </c>
      <c r="CD59" s="1">
        <f>CD57</f>
        <v>-102.91653189109677</v>
      </c>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96"/>
      <c r="EA59" s="96"/>
      <c r="EB59" s="96"/>
      <c r="EC59" s="1"/>
      <c r="ED59" s="1"/>
    </row>
    <row r="60" spans="1:134" x14ac:dyDescent="0.2">
      <c r="A60" s="1"/>
      <c r="B60" s="1"/>
      <c r="C60" s="1"/>
      <c r="D60" s="1"/>
      <c r="E60" s="1"/>
      <c r="F60" s="1"/>
      <c r="G60" s="1"/>
      <c r="H60" s="1"/>
      <c r="I60" s="1"/>
      <c r="J60" s="1"/>
      <c r="K60" s="1"/>
      <c r="L60" s="1"/>
      <c r="M60" s="1"/>
      <c r="N60" s="1"/>
      <c r="O60" s="1"/>
      <c r="P60" s="1"/>
      <c r="AV60" s="1"/>
      <c r="AW60" s="1"/>
      <c r="AX60" s="1"/>
      <c r="AY60" s="1"/>
      <c r="AZ60" s="1"/>
      <c r="BA60" s="1"/>
      <c r="BB60" s="1"/>
      <c r="BC60" s="1"/>
      <c r="BD60" s="1"/>
      <c r="BE60" s="1"/>
      <c r="BF60" s="1"/>
      <c r="BG60" s="1">
        <v>3</v>
      </c>
      <c r="BH60" s="1">
        <f>BH57</f>
        <v>-190.72903705342094</v>
      </c>
      <c r="BI60" s="1">
        <f>BI57+200</f>
        <v>361.62436210137008</v>
      </c>
      <c r="BJ60" s="1">
        <v>3</v>
      </c>
      <c r="BK60" s="1">
        <f>BK57+50</f>
        <v>4534.0971934242489</v>
      </c>
      <c r="BL60" s="1">
        <f>BL57+150</f>
        <v>372.44511784417654</v>
      </c>
      <c r="BM60" s="1">
        <v>3</v>
      </c>
      <c r="BN60" s="1">
        <f>BN57-50</f>
        <v>7098.3386615823856</v>
      </c>
      <c r="BO60" s="1">
        <f>BO57-150</f>
        <v>-3717.6653150421507</v>
      </c>
      <c r="BP60" s="1">
        <v>3</v>
      </c>
      <c r="BQ60" s="1">
        <f>BQ57+50</f>
        <v>1015.8801609429015</v>
      </c>
      <c r="BR60" s="1">
        <f>BR57+150</f>
        <v>-7684.6431837893933</v>
      </c>
      <c r="BS60" s="1">
        <v>3</v>
      </c>
      <c r="BT60" s="1">
        <f>BT57-100</f>
        <v>-1402.7811645172646</v>
      </c>
      <c r="BU60" s="1">
        <f>BU57</f>
        <v>-4899.5245582924617</v>
      </c>
      <c r="BV60" s="1">
        <v>3</v>
      </c>
      <c r="BW60" s="1">
        <f>BW57</f>
        <v>-2006.8836069573733</v>
      </c>
      <c r="BX60" s="1">
        <f>BX57</f>
        <v>-2180.0799439368425</v>
      </c>
      <c r="BY60" s="1">
        <v>3</v>
      </c>
      <c r="BZ60" s="1">
        <f>BZ57-100</f>
        <v>127.83368377724321</v>
      </c>
      <c r="CA60" s="1">
        <f>CA57+100</f>
        <v>202.91653189109684</v>
      </c>
      <c r="CB60" s="1">
        <v>3</v>
      </c>
      <c r="CC60" s="1">
        <f>CC57-100</f>
        <v>-327.83368377724321</v>
      </c>
      <c r="CD60" s="1">
        <f>CD57-150</f>
        <v>-252.91653189109678</v>
      </c>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96"/>
      <c r="EA60" s="96"/>
      <c r="EB60" s="96"/>
      <c r="EC60" s="1"/>
      <c r="ED60" s="1"/>
    </row>
    <row r="61" spans="1:134" ht="18" x14ac:dyDescent="0.25">
      <c r="A61" s="1"/>
      <c r="B61" s="1"/>
      <c r="C61" s="309" t="s">
        <v>201</v>
      </c>
      <c r="D61" s="309"/>
      <c r="E61" s="309"/>
      <c r="F61" s="309"/>
      <c r="G61" s="309"/>
      <c r="H61" s="309"/>
      <c r="I61" s="309"/>
      <c r="J61" s="309"/>
      <c r="K61" s="309"/>
      <c r="L61" s="309"/>
      <c r="M61" s="309"/>
      <c r="N61" s="309"/>
      <c r="O61" s="309"/>
      <c r="P61" s="1"/>
      <c r="AV61" s="1"/>
      <c r="AW61" s="1"/>
      <c r="AX61" s="1"/>
      <c r="AY61" s="1"/>
      <c r="AZ61" s="1"/>
      <c r="BA61" s="1"/>
      <c r="BB61" s="1"/>
      <c r="BC61" s="1"/>
      <c r="BD61" s="1"/>
      <c r="BE61" s="1"/>
      <c r="BF61" s="1"/>
      <c r="BG61" s="1">
        <v>4</v>
      </c>
      <c r="BH61" s="1">
        <f>BH57+100</f>
        <v>-90.729037053420939</v>
      </c>
      <c r="BI61" s="1">
        <f>BI57</f>
        <v>161.62436210137008</v>
      </c>
      <c r="BJ61" s="1">
        <v>4</v>
      </c>
      <c r="BK61" s="1">
        <f>BK57+100</f>
        <v>4584.0971934242489</v>
      </c>
      <c r="BL61" s="1">
        <f>BL57+100</f>
        <v>322.44511784417654</v>
      </c>
      <c r="BM61" s="1">
        <v>4</v>
      </c>
      <c r="BN61" s="1">
        <f>BN57-100</f>
        <v>7048.3386615823856</v>
      </c>
      <c r="BO61" s="1">
        <f>BO57-100</f>
        <v>-3667.6653150421507</v>
      </c>
      <c r="BP61" s="1">
        <v>4</v>
      </c>
      <c r="BQ61" s="1">
        <f>BQ57+100</f>
        <v>1065.8801609429015</v>
      </c>
      <c r="BR61" s="1">
        <f>BR57+100</f>
        <v>-7734.6431837893933</v>
      </c>
      <c r="BS61" s="1">
        <v>4</v>
      </c>
      <c r="BT61" s="1">
        <f>BT57</f>
        <v>-1302.7811645172646</v>
      </c>
      <c r="BU61" s="1">
        <f>BU57</f>
        <v>-4899.5245582924617</v>
      </c>
      <c r="BV61" s="1">
        <v>4</v>
      </c>
      <c r="BW61" s="1">
        <f>BW57-100</f>
        <v>-2106.8836069573736</v>
      </c>
      <c r="BX61" s="1">
        <f>BX57+150</f>
        <v>-2030.0799439368425</v>
      </c>
      <c r="BY61" s="1">
        <v>4</v>
      </c>
      <c r="BZ61" s="1">
        <f>BZ57-100</f>
        <v>127.83368377724321</v>
      </c>
      <c r="CA61" s="1">
        <f>CA57-100</f>
        <v>2.9165318910968523</v>
      </c>
      <c r="CB61" s="1">
        <v>4</v>
      </c>
      <c r="CC61" s="1">
        <f>CC57+100</f>
        <v>-127.83368377724321</v>
      </c>
      <c r="CD61" s="1">
        <f>CD57+150</f>
        <v>47.083468108903233</v>
      </c>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96"/>
      <c r="EA61" s="96"/>
      <c r="EB61" s="96"/>
      <c r="EC61" s="1"/>
      <c r="ED61" s="1"/>
    </row>
    <row r="62" spans="1:134" x14ac:dyDescent="0.2">
      <c r="A62" s="1"/>
      <c r="B62" s="1"/>
      <c r="C62" s="140"/>
      <c r="D62" s="107"/>
      <c r="E62" s="1"/>
      <c r="F62" s="51"/>
      <c r="G62" s="1"/>
      <c r="H62" s="77"/>
      <c r="I62" s="107"/>
      <c r="J62" s="1"/>
      <c r="K62" s="1"/>
      <c r="L62" s="1"/>
      <c r="M62" s="1"/>
      <c r="N62" s="1"/>
      <c r="O62" s="1"/>
      <c r="P62" s="1"/>
      <c r="AV62" s="1"/>
      <c r="AW62" s="1"/>
      <c r="AX62" s="1"/>
      <c r="AY62" s="1"/>
      <c r="AZ62" s="1"/>
      <c r="BA62" s="1"/>
      <c r="BB62" s="1"/>
      <c r="BC62" s="1"/>
      <c r="BD62" s="1"/>
      <c r="BE62" s="1"/>
      <c r="BF62" s="1"/>
      <c r="BG62" s="1">
        <v>5</v>
      </c>
      <c r="BH62" s="1">
        <f>BH57+100</f>
        <v>-90.729037053420939</v>
      </c>
      <c r="BI62" s="1">
        <f>BI57-100</f>
        <v>61.624362101370082</v>
      </c>
      <c r="BJ62" s="1">
        <v>5</v>
      </c>
      <c r="BK62" s="1">
        <f>BK57+100</f>
        <v>4584.0971934242489</v>
      </c>
      <c r="BL62" s="1">
        <f>BL57+50</f>
        <v>272.44511784417654</v>
      </c>
      <c r="BM62" s="1">
        <v>5</v>
      </c>
      <c r="BN62" s="1">
        <f>BN57-100</f>
        <v>7048.3386615823856</v>
      </c>
      <c r="BO62" s="1">
        <f>BO57+100</f>
        <v>-3467.6653150421507</v>
      </c>
      <c r="BP62" s="1">
        <v>5</v>
      </c>
      <c r="BQ62" s="1">
        <f>BQ57+100</f>
        <v>1065.8801609429015</v>
      </c>
      <c r="BR62" s="1">
        <f>BR57-100</f>
        <v>-7934.6431837893933</v>
      </c>
      <c r="BS62" s="1">
        <v>5</v>
      </c>
      <c r="BT62" s="1">
        <f>BT57-100</f>
        <v>-1402.7811645172646</v>
      </c>
      <c r="BU62" s="1">
        <f>BU57+150</f>
        <v>-4749.5245582924617</v>
      </c>
      <c r="BV62" s="1">
        <v>5</v>
      </c>
      <c r="BW62" s="1">
        <f>BW57+100</f>
        <v>-1906.8836069573733</v>
      </c>
      <c r="BX62" s="1">
        <f>BX57+150</f>
        <v>-2030.0799439368425</v>
      </c>
      <c r="BY62" s="1">
        <v>5</v>
      </c>
      <c r="BZ62" s="1">
        <f>BZ57-50</f>
        <v>177.83368377724321</v>
      </c>
      <c r="CA62" s="1">
        <f>CA57-150</f>
        <v>-47.083468108903148</v>
      </c>
      <c r="CB62" s="1">
        <v>5</v>
      </c>
      <c r="CC62" s="1">
        <f>CC57+100</f>
        <v>-127.83368377724321</v>
      </c>
      <c r="CD62" s="1">
        <f>CD57</f>
        <v>-102.91653189109677</v>
      </c>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96"/>
      <c r="EA62" s="96"/>
      <c r="EB62" s="96"/>
      <c r="EC62" s="1"/>
      <c r="ED62" s="1"/>
    </row>
    <row r="63" spans="1:134" x14ac:dyDescent="0.2">
      <c r="A63" s="1"/>
      <c r="B63" s="1"/>
      <c r="C63" s="310" t="s">
        <v>202</v>
      </c>
      <c r="D63" s="310"/>
      <c r="E63" s="310"/>
      <c r="F63" s="310"/>
      <c r="G63" s="310"/>
      <c r="H63" s="310"/>
      <c r="I63" s="310"/>
      <c r="J63" s="310"/>
      <c r="K63" s="310"/>
      <c r="L63" s="310"/>
      <c r="M63" s="310"/>
      <c r="N63" s="310"/>
      <c r="O63" s="310"/>
      <c r="P63" s="1"/>
      <c r="AV63" s="1"/>
      <c r="AW63" s="1"/>
      <c r="AX63" s="1"/>
      <c r="AY63" s="1"/>
      <c r="AZ63" s="1"/>
      <c r="BA63" s="1"/>
      <c r="BB63" s="1"/>
      <c r="BC63" s="1"/>
      <c r="BD63" s="1"/>
      <c r="BE63" s="1"/>
      <c r="BF63" s="1"/>
      <c r="BG63" s="1"/>
      <c r="BH63" s="1"/>
      <c r="BI63" s="1"/>
      <c r="BJ63" s="1">
        <v>6</v>
      </c>
      <c r="BK63" s="1">
        <f>BK57+50</f>
        <v>4534.0971934242489</v>
      </c>
      <c r="BL63" s="1">
        <f>BL57</f>
        <v>222.44511784417654</v>
      </c>
      <c r="BM63" s="1">
        <v>6</v>
      </c>
      <c r="BN63" s="1">
        <f>BN57-50</f>
        <v>7098.3386615823856</v>
      </c>
      <c r="BO63" s="1">
        <f>BO57+150</f>
        <v>-3417.6653150421507</v>
      </c>
      <c r="BP63" s="1">
        <v>6</v>
      </c>
      <c r="BQ63" s="1">
        <f>BQ57+50</f>
        <v>1015.8801609429015</v>
      </c>
      <c r="BR63" s="1">
        <f>BR57-150</f>
        <v>-7984.6431837893933</v>
      </c>
      <c r="BS63" s="1">
        <v>6</v>
      </c>
      <c r="BT63" s="1">
        <f>BT57+100</f>
        <v>-1202.7811645172646</v>
      </c>
      <c r="BU63" s="1">
        <f>BU57+150</f>
        <v>-4749.5245582924617</v>
      </c>
      <c r="BV63" s="1"/>
      <c r="BW63" s="1"/>
      <c r="BX63" s="1"/>
      <c r="BY63" s="1">
        <v>6</v>
      </c>
      <c r="BZ63" s="1">
        <f>BZ57+100</f>
        <v>327.83368377724321</v>
      </c>
      <c r="CA63" s="1">
        <f>CA57-150</f>
        <v>-47.083468108903148</v>
      </c>
      <c r="CB63" s="1">
        <v>6</v>
      </c>
      <c r="CC63" s="1">
        <f>CC57+100</f>
        <v>-127.83368377724321</v>
      </c>
      <c r="CD63" s="1">
        <f>CD57-150</f>
        <v>-252.91653189109678</v>
      </c>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96"/>
      <c r="EA63" s="96"/>
      <c r="EB63" s="96"/>
      <c r="EC63" s="1"/>
      <c r="ED63" s="1"/>
    </row>
    <row r="64" spans="1:134" ht="14.25" customHeight="1" x14ac:dyDescent="0.2">
      <c r="A64" s="1"/>
      <c r="B64" s="1"/>
      <c r="C64" s="311" t="s">
        <v>203</v>
      </c>
      <c r="D64" s="311"/>
      <c r="E64" s="311"/>
      <c r="F64" s="311"/>
      <c r="G64" s="311"/>
      <c r="H64" s="311"/>
      <c r="I64" s="311"/>
      <c r="J64" s="311"/>
      <c r="K64" s="311"/>
      <c r="L64" s="311"/>
      <c r="M64" s="311"/>
      <c r="N64" s="311"/>
      <c r="O64" s="311"/>
      <c r="P64" s="1"/>
      <c r="AV64" s="1"/>
      <c r="AW64" s="1"/>
      <c r="AX64" s="1"/>
      <c r="AY64" s="1"/>
      <c r="AZ64" s="1"/>
      <c r="BA64" s="1"/>
      <c r="BB64" s="1"/>
      <c r="BC64" s="1"/>
      <c r="BD64" s="1"/>
      <c r="BE64" s="1"/>
      <c r="BF64" s="1"/>
      <c r="BG64" s="1"/>
      <c r="BH64" s="1"/>
      <c r="BI64" s="1"/>
      <c r="BJ64" s="1">
        <v>7</v>
      </c>
      <c r="BK64" s="1">
        <f>BK57+100</f>
        <v>4584.0971934242489</v>
      </c>
      <c r="BL64" s="1">
        <f>BL57-50</f>
        <v>172.44511784417654</v>
      </c>
      <c r="BM64" s="1">
        <v>7</v>
      </c>
      <c r="BN64" s="1">
        <f>BN57+50</f>
        <v>7198.3386615823856</v>
      </c>
      <c r="BO64" s="1">
        <f>BO57+150</f>
        <v>-3417.6653150421507</v>
      </c>
      <c r="BP64" s="1">
        <v>7</v>
      </c>
      <c r="BQ64" s="1">
        <f>BQ57-50</f>
        <v>915.88016094290151</v>
      </c>
      <c r="BR64" s="1">
        <f>BR57-150</f>
        <v>-7984.6431837893933</v>
      </c>
      <c r="BS64" s="1"/>
      <c r="BT64" s="1"/>
      <c r="BU64" s="1"/>
      <c r="BV64" s="1"/>
      <c r="BW64" s="1"/>
      <c r="BX64" s="1"/>
      <c r="BY64" s="1">
        <v>7</v>
      </c>
      <c r="BZ64" s="1">
        <f>BZ57+100</f>
        <v>327.83368377724321</v>
      </c>
      <c r="CA64" s="1">
        <f>CA57</f>
        <v>102.91653189109685</v>
      </c>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96"/>
      <c r="EA64" s="96"/>
      <c r="EB64" s="96"/>
      <c r="EC64" s="1"/>
      <c r="ED64" s="1"/>
    </row>
    <row r="65" spans="1:134" x14ac:dyDescent="0.2">
      <c r="A65" s="1"/>
      <c r="B65" s="1"/>
      <c r="C65" s="311"/>
      <c r="D65" s="311"/>
      <c r="E65" s="311"/>
      <c r="F65" s="311"/>
      <c r="G65" s="311"/>
      <c r="H65" s="311"/>
      <c r="I65" s="311"/>
      <c r="J65" s="311"/>
      <c r="K65" s="311"/>
      <c r="L65" s="311"/>
      <c r="M65" s="311"/>
      <c r="N65" s="311"/>
      <c r="O65" s="311"/>
      <c r="P65" s="1"/>
      <c r="AV65" s="1"/>
      <c r="AW65" s="1"/>
      <c r="AX65" s="1"/>
      <c r="AY65" s="1"/>
      <c r="AZ65" s="1"/>
      <c r="BA65" s="1"/>
      <c r="BB65" s="1"/>
      <c r="BC65" s="1"/>
      <c r="BD65" s="1"/>
      <c r="BE65" s="1"/>
      <c r="BF65" s="1"/>
      <c r="BG65" s="1"/>
      <c r="BH65" s="1"/>
      <c r="BI65" s="1"/>
      <c r="BJ65" s="1">
        <v>8</v>
      </c>
      <c r="BK65" s="1">
        <f>BK57+100</f>
        <v>4584.0971934242489</v>
      </c>
      <c r="BL65" s="1">
        <f>BL57-100</f>
        <v>122.44511784417654</v>
      </c>
      <c r="BM65" s="1">
        <v>8</v>
      </c>
      <c r="BN65" s="1">
        <f>BN57+100</f>
        <v>7248.3386615823856</v>
      </c>
      <c r="BO65" s="1">
        <f>BO57+100</f>
        <v>-3467.6653150421507</v>
      </c>
      <c r="BP65" s="1">
        <v>8</v>
      </c>
      <c r="BQ65" s="1">
        <f>BQ57-100</f>
        <v>865.88016094290151</v>
      </c>
      <c r="BR65" s="1">
        <f>BR57-150</f>
        <v>-7984.6431837893933</v>
      </c>
      <c r="BS65" s="1"/>
      <c r="BT65" s="1"/>
      <c r="BU65" s="1"/>
      <c r="BV65" s="1"/>
      <c r="BW65" s="1"/>
      <c r="BX65" s="1"/>
      <c r="BY65" s="1">
        <v>8</v>
      </c>
      <c r="BZ65" s="1">
        <f>BZ57+50</f>
        <v>277.83368377724321</v>
      </c>
      <c r="CA65" s="1">
        <f>CA57</f>
        <v>102.91653189109685</v>
      </c>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96"/>
      <c r="EA65" s="96"/>
      <c r="EB65" s="96"/>
      <c r="EC65" s="1"/>
      <c r="ED65" s="1"/>
    </row>
    <row r="66" spans="1:134" x14ac:dyDescent="0.2">
      <c r="A66" s="1"/>
      <c r="B66" s="1"/>
      <c r="C66" s="311"/>
      <c r="D66" s="311"/>
      <c r="E66" s="311"/>
      <c r="F66" s="311"/>
      <c r="G66" s="311"/>
      <c r="H66" s="311"/>
      <c r="I66" s="311"/>
      <c r="J66" s="311"/>
      <c r="K66" s="311"/>
      <c r="L66" s="311"/>
      <c r="M66" s="311"/>
      <c r="N66" s="311"/>
      <c r="O66" s="311"/>
      <c r="P66" s="1"/>
      <c r="AV66" s="1"/>
      <c r="AW66" s="1"/>
      <c r="AX66" s="1"/>
      <c r="AY66" s="1"/>
      <c r="AZ66" s="1"/>
      <c r="BA66" s="1"/>
      <c r="BB66" s="1"/>
      <c r="BC66" s="1"/>
      <c r="BD66" s="1"/>
      <c r="BE66" s="1"/>
      <c r="BF66" s="1"/>
      <c r="BG66" s="1"/>
      <c r="BH66" s="1"/>
      <c r="BI66" s="1"/>
      <c r="BJ66" s="1">
        <v>9</v>
      </c>
      <c r="BK66" s="1">
        <f>BK57+50</f>
        <v>4534.0971934242489</v>
      </c>
      <c r="BL66" s="1">
        <f>BL57-150</f>
        <v>72.445117844176536</v>
      </c>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96"/>
      <c r="EA66" s="96"/>
      <c r="EB66" s="96"/>
      <c r="EC66" s="1"/>
      <c r="ED66" s="1"/>
    </row>
    <row r="67" spans="1:134" x14ac:dyDescent="0.2">
      <c r="A67" s="1"/>
      <c r="B67" s="1"/>
      <c r="C67" s="311"/>
      <c r="D67" s="311"/>
      <c r="E67" s="311"/>
      <c r="F67" s="311"/>
      <c r="G67" s="311"/>
      <c r="H67" s="311"/>
      <c r="I67" s="311"/>
      <c r="J67" s="311"/>
      <c r="K67" s="311"/>
      <c r="L67" s="311"/>
      <c r="M67" s="311"/>
      <c r="N67" s="311"/>
      <c r="O67" s="311"/>
      <c r="P67" s="1"/>
      <c r="AV67" s="1"/>
      <c r="AW67" s="1"/>
      <c r="AX67" s="1"/>
      <c r="AY67" s="1"/>
      <c r="AZ67" s="1"/>
      <c r="BA67" s="1"/>
      <c r="BB67" s="1"/>
      <c r="BC67" s="1"/>
      <c r="BD67" s="1"/>
      <c r="BE67" s="1"/>
      <c r="BF67" s="1"/>
      <c r="BG67" s="1"/>
      <c r="BH67" s="1"/>
      <c r="BI67" s="1"/>
      <c r="BJ67" s="1">
        <v>10</v>
      </c>
      <c r="BK67" s="1">
        <f>BK57-50</f>
        <v>4434.0971934242489</v>
      </c>
      <c r="BL67" s="1">
        <f>BL57-150</f>
        <v>72.445117844176536</v>
      </c>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96"/>
      <c r="EA67" s="96"/>
      <c r="EB67" s="96"/>
      <c r="EC67" s="1"/>
      <c r="ED67" s="1"/>
    </row>
    <row r="68" spans="1:134" x14ac:dyDescent="0.2">
      <c r="A68" s="1"/>
      <c r="B68" s="1"/>
      <c r="C68" s="311"/>
      <c r="D68" s="311"/>
      <c r="E68" s="311"/>
      <c r="F68" s="311"/>
      <c r="G68" s="311"/>
      <c r="H68" s="311"/>
      <c r="I68" s="311"/>
      <c r="J68" s="311"/>
      <c r="K68" s="311"/>
      <c r="L68" s="311"/>
      <c r="M68" s="311"/>
      <c r="N68" s="311"/>
      <c r="O68" s="311"/>
      <c r="P68" s="1"/>
      <c r="AV68" s="1"/>
      <c r="AW68" s="1"/>
      <c r="AX68" s="1"/>
      <c r="AY68" s="1"/>
      <c r="AZ68" s="1"/>
      <c r="BA68" s="1"/>
      <c r="BB68" s="1"/>
      <c r="BC68" s="1"/>
      <c r="BD68" s="1"/>
      <c r="BE68" s="1"/>
      <c r="BF68" s="1"/>
      <c r="BG68" s="1"/>
      <c r="BH68" s="1"/>
      <c r="BI68" s="1"/>
      <c r="BJ68" s="1">
        <v>11</v>
      </c>
      <c r="BK68" s="1">
        <f>BK57-100</f>
        <v>4384.0971934242489</v>
      </c>
      <c r="BL68" s="1">
        <f>BL57-150</f>
        <v>72.445117844176536</v>
      </c>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96"/>
      <c r="EA68" s="96"/>
      <c r="EB68" s="96"/>
      <c r="EC68" s="1"/>
      <c r="ED68" s="1"/>
    </row>
    <row r="69" spans="1:134" x14ac:dyDescent="0.2">
      <c r="A69" s="1"/>
      <c r="B69" s="1"/>
      <c r="C69" s="311"/>
      <c r="D69" s="311"/>
      <c r="E69" s="311"/>
      <c r="F69" s="311"/>
      <c r="G69" s="311"/>
      <c r="H69" s="311"/>
      <c r="I69" s="311"/>
      <c r="J69" s="311"/>
      <c r="K69" s="311"/>
      <c r="L69" s="311"/>
      <c r="M69" s="311"/>
      <c r="N69" s="311"/>
      <c r="O69" s="311"/>
      <c r="P69" s="1"/>
      <c r="AV69" s="1"/>
      <c r="AW69" s="1"/>
      <c r="AX69" s="1"/>
      <c r="AY69" s="1"/>
      <c r="AZ69" s="1"/>
      <c r="BA69" s="1"/>
      <c r="BB69" s="1"/>
      <c r="BC69" s="1"/>
      <c r="BD69" s="1"/>
      <c r="BE69" s="1"/>
      <c r="BF69" s="1"/>
      <c r="BG69" s="1"/>
      <c r="BH69" s="1"/>
      <c r="BI69" s="1"/>
      <c r="BJ69" s="1">
        <v>12</v>
      </c>
      <c r="BK69" s="1">
        <f>BK57-50</f>
        <v>4434.0971934242489</v>
      </c>
      <c r="BL69" s="1">
        <f>BL57</f>
        <v>222.44511784417654</v>
      </c>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96"/>
      <c r="EA69" s="96"/>
      <c r="EB69" s="96"/>
      <c r="EC69" s="1"/>
      <c r="ED69" s="1"/>
    </row>
    <row r="70" spans="1:134" x14ac:dyDescent="0.2">
      <c r="A70" s="1"/>
      <c r="B70" s="1"/>
      <c r="C70" s="311"/>
      <c r="D70" s="311"/>
      <c r="E70" s="311"/>
      <c r="F70" s="311"/>
      <c r="G70" s="311"/>
      <c r="H70" s="311"/>
      <c r="I70" s="311"/>
      <c r="J70" s="311"/>
      <c r="K70" s="311"/>
      <c r="L70" s="311"/>
      <c r="M70" s="311"/>
      <c r="N70" s="311"/>
      <c r="O70" s="311"/>
      <c r="P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96"/>
      <c r="EA70" s="96"/>
      <c r="EB70" s="96"/>
      <c r="EC70" s="1"/>
      <c r="ED70" s="1"/>
    </row>
    <row r="71" spans="1:134" x14ac:dyDescent="0.2">
      <c r="A71" s="1"/>
      <c r="B71" s="1"/>
      <c r="C71" s="311"/>
      <c r="D71" s="311"/>
      <c r="E71" s="311"/>
      <c r="F71" s="311"/>
      <c r="G71" s="311"/>
      <c r="H71" s="311"/>
      <c r="I71" s="311"/>
      <c r="J71" s="311"/>
      <c r="K71" s="311"/>
      <c r="L71" s="311"/>
      <c r="M71" s="311"/>
      <c r="N71" s="311"/>
      <c r="O71" s="311"/>
      <c r="P71" s="1"/>
      <c r="AV71" s="1"/>
      <c r="AW71" s="1"/>
      <c r="AX71" s="1"/>
      <c r="AY71" s="1"/>
      <c r="AZ71" s="1"/>
      <c r="BA71" s="1"/>
      <c r="BB71" s="1"/>
      <c r="BC71" s="1"/>
      <c r="BD71" s="1"/>
      <c r="BE71" s="1"/>
      <c r="BF71" s="1"/>
      <c r="BG71" s="1"/>
      <c r="BH71" s="1" t="s">
        <v>204</v>
      </c>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96"/>
      <c r="EA71" s="96"/>
      <c r="EB71" s="96"/>
      <c r="EC71" s="1"/>
      <c r="ED71" s="1"/>
    </row>
    <row r="72" spans="1:134" x14ac:dyDescent="0.2">
      <c r="A72" s="1"/>
      <c r="B72" s="1"/>
      <c r="C72" s="311"/>
      <c r="D72" s="311"/>
      <c r="E72" s="311"/>
      <c r="F72" s="311"/>
      <c r="G72" s="311"/>
      <c r="H72" s="311"/>
      <c r="I72" s="311"/>
      <c r="J72" s="311"/>
      <c r="K72" s="311"/>
      <c r="L72" s="311"/>
      <c r="M72" s="311"/>
      <c r="N72" s="311"/>
      <c r="O72" s="311"/>
      <c r="P72" s="1"/>
      <c r="AV72" s="1"/>
      <c r="AW72" s="1"/>
      <c r="AX72" s="1"/>
      <c r="AY72" s="1"/>
      <c r="AZ72" s="1"/>
      <c r="BA72" s="1"/>
      <c r="BB72" s="1"/>
      <c r="BC72" s="1"/>
      <c r="BD72" s="1"/>
      <c r="BE72" s="1"/>
      <c r="BF72" s="1"/>
      <c r="BG72" s="1" t="s">
        <v>149</v>
      </c>
      <c r="BH72" s="1" t="s">
        <v>158</v>
      </c>
      <c r="BI72" s="1" t="s">
        <v>159</v>
      </c>
      <c r="BJ72" s="1" t="s">
        <v>150</v>
      </c>
      <c r="BK72" s="1" t="s">
        <v>158</v>
      </c>
      <c r="BL72" s="1" t="s">
        <v>159</v>
      </c>
      <c r="BM72" s="1" t="s">
        <v>151</v>
      </c>
      <c r="BN72" s="1" t="s">
        <v>158</v>
      </c>
      <c r="BO72" s="1" t="s">
        <v>159</v>
      </c>
      <c r="BP72" s="1" t="s">
        <v>152</v>
      </c>
      <c r="BQ72" s="1" t="s">
        <v>158</v>
      </c>
      <c r="BR72" s="1" t="s">
        <v>159</v>
      </c>
      <c r="BS72" s="1" t="s">
        <v>153</v>
      </c>
      <c r="BT72" s="1" t="s">
        <v>158</v>
      </c>
      <c r="BU72" s="1" t="s">
        <v>159</v>
      </c>
      <c r="BV72" s="1" t="s">
        <v>154</v>
      </c>
      <c r="BW72" s="1" t="s">
        <v>158</v>
      </c>
      <c r="BX72" s="1" t="s">
        <v>159</v>
      </c>
      <c r="BY72" s="1" t="s">
        <v>155</v>
      </c>
      <c r="BZ72" s="1" t="s">
        <v>158</v>
      </c>
      <c r="CA72" s="1" t="s">
        <v>159</v>
      </c>
      <c r="CB72" s="1" t="s">
        <v>156</v>
      </c>
      <c r="CC72" s="1" t="s">
        <v>158</v>
      </c>
      <c r="CD72" s="1" t="s">
        <v>159</v>
      </c>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96"/>
      <c r="EA72" s="96"/>
      <c r="EB72" s="96"/>
      <c r="EC72" s="1"/>
      <c r="ED72" s="1"/>
    </row>
    <row r="73" spans="1:134" x14ac:dyDescent="0.2">
      <c r="A73" s="1"/>
      <c r="B73" s="1"/>
      <c r="C73" s="1"/>
      <c r="D73" s="1"/>
      <c r="E73" s="1"/>
      <c r="F73" s="1"/>
      <c r="G73" s="1"/>
      <c r="H73" s="1"/>
      <c r="I73" s="1"/>
      <c r="J73" s="1"/>
      <c r="K73" s="1"/>
      <c r="L73" s="1"/>
      <c r="M73" s="1"/>
      <c r="N73" s="1"/>
      <c r="O73" s="1"/>
      <c r="P73" s="1"/>
      <c r="AV73" s="1"/>
      <c r="AW73" s="1"/>
      <c r="AX73" s="1"/>
      <c r="AY73" s="1"/>
      <c r="AZ73" s="1"/>
      <c r="BA73" s="1"/>
      <c r="BB73" s="1"/>
      <c r="BC73" s="1"/>
      <c r="BD73" s="1"/>
      <c r="BE73" s="1"/>
      <c r="BF73" s="1"/>
      <c r="BG73" s="1">
        <v>1</v>
      </c>
      <c r="BH73" s="1">
        <f>IF($AR$11=0,NA(),VLOOKUP(BG73,$BG$58:$BI$62,2,FALSE))</f>
        <v>-290.72903705342094</v>
      </c>
      <c r="BI73" s="1">
        <f>VLOOKUP(BG73,$BG$58:$BI$62,3,FALSE)</f>
        <v>61.624362101370082</v>
      </c>
      <c r="BJ73" s="1">
        <v>1</v>
      </c>
      <c r="BK73" s="1">
        <f>IF($AR$11=0,NA(),VLOOKUP(BJ73,$BJ$58:$BL$69,2,FALSE))</f>
        <v>4384.0971934242489</v>
      </c>
      <c r="BL73" s="1">
        <f>VLOOKUP(BJ73,$BJ$58:$BL$69,3,FALSE)</f>
        <v>372.44511784417654</v>
      </c>
      <c r="BM73" s="1">
        <v>1</v>
      </c>
      <c r="BN73" s="1">
        <f>IF($AR$11=0,NA(),VLOOKUP(BM73,$BM$58:$BO$65,2,FALSE))</f>
        <v>7248.3386615823856</v>
      </c>
      <c r="BO73" s="1">
        <f>VLOOKUP(BM73,$BM$58:$BO$65,3,FALSE)</f>
        <v>-3667.6653150421507</v>
      </c>
      <c r="BP73" s="1">
        <v>1</v>
      </c>
      <c r="BQ73" s="1">
        <f>IF($AR$11=0,NA(),VLOOKUP(IF($G$7&gt;3,BP73,0),$BP$58:$BR$65,2,FALSE))</f>
        <v>865.88016094290151</v>
      </c>
      <c r="BR73" s="1">
        <f>VLOOKUP(BP73,$BP$58:$BR$65,3,FALSE)</f>
        <v>-7684.6431837893933</v>
      </c>
      <c r="BS73" s="1">
        <v>1</v>
      </c>
      <c r="BT73" s="1">
        <f>VLOOKUP(IF($G$7&gt;4,BS73,0),$BS$58:$BU$63,2,FALSE)</f>
        <v>-1202.7811645172646</v>
      </c>
      <c r="BU73" s="1">
        <f>VLOOKUP(BS73,$BS$58:$BU$63,3,FALSE)</f>
        <v>-5049.5245582924617</v>
      </c>
      <c r="BV73" s="1">
        <v>1</v>
      </c>
      <c r="BW73" s="1">
        <f t="shared" ref="BW73:BW78" si="71">VLOOKUP(IF($G$7&gt;5,BV73,0),$BV$58:$BX$62,2,FALSE)</f>
        <v>-2106.8836069573736</v>
      </c>
      <c r="BX73" s="1">
        <f t="shared" ref="BX73:BX78" si="72">VLOOKUP(BV73,$BV$58:$BX$62,3,FALSE)</f>
        <v>-2330.0799439368425</v>
      </c>
      <c r="BY73" s="1">
        <v>1</v>
      </c>
      <c r="BZ73" s="1" t="e">
        <f>VLOOKUP(IF($G$7&gt;6,BY73,0),$BY$58:$CA$65,2,FALSE)</f>
        <v>#N/A</v>
      </c>
      <c r="CA73" s="1">
        <f>VLOOKUP(BY73,$BY$58:$CA$65,3,FALSE)</f>
        <v>252.91653189109684</v>
      </c>
      <c r="CB73" s="1">
        <v>1</v>
      </c>
      <c r="CC73" s="1" t="e">
        <f>VLOOKUP(IF($G$7&gt;7,CB73,0),$CB$58:$CD$63,2,FALSE)</f>
        <v>#N/A</v>
      </c>
      <c r="CD73" s="1">
        <f>VLOOKUP(CB73,$CB$58:$CD$63,3,FALSE)</f>
        <v>47.083468108903233</v>
      </c>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96"/>
      <c r="EA73" s="96"/>
      <c r="EB73" s="96"/>
      <c r="EC73" s="1"/>
      <c r="ED73" s="1"/>
    </row>
    <row r="74" spans="1:134" x14ac:dyDescent="0.2">
      <c r="A74" s="1"/>
      <c r="B74" s="1"/>
      <c r="C74" s="1"/>
      <c r="D74" s="1"/>
      <c r="E74" s="1"/>
      <c r="F74" s="1"/>
      <c r="G74" s="1"/>
      <c r="H74" s="1"/>
      <c r="I74" s="1"/>
      <c r="J74" s="1"/>
      <c r="K74" s="1"/>
      <c r="L74" s="1"/>
      <c r="M74" s="1"/>
      <c r="N74" s="1"/>
      <c r="O74" s="1"/>
      <c r="P74" s="1"/>
      <c r="AV74" s="1"/>
      <c r="AW74" s="1"/>
      <c r="AX74" s="1"/>
      <c r="AY74" s="1"/>
      <c r="AZ74" s="1"/>
      <c r="BA74" s="1"/>
      <c r="BB74" s="1"/>
      <c r="BC74" s="1"/>
      <c r="BD74" s="1"/>
      <c r="BE74" s="1"/>
      <c r="BF74" s="1"/>
      <c r="BG74" s="1">
        <v>2</v>
      </c>
      <c r="BH74" s="1">
        <f t="shared" ref="BH74:BH79" si="73">IF($AR$11=0,NA(),VLOOKUP(BG74,$BG$58:$BI$62,2,FALSE))</f>
        <v>-290.72903705342094</v>
      </c>
      <c r="BI74" s="1">
        <f t="shared" ref="BI74:BI79" si="74">VLOOKUP(BG74,$BG$58:$BI$62,3,FALSE)</f>
        <v>161.62436210137008</v>
      </c>
      <c r="BJ74" s="1">
        <v>2</v>
      </c>
      <c r="BK74" s="1">
        <f t="shared" ref="BK74:BK88" si="75">IF($AR$11=0,NA(),VLOOKUP(BJ74,$BJ$58:$BL$69,2,FALSE))</f>
        <v>4434.0971934242489</v>
      </c>
      <c r="BL74" s="1">
        <f t="shared" ref="BL74:BL88" si="76">VLOOKUP(BJ74,$BJ$58:$BL$69,3,FALSE)</f>
        <v>372.44511784417654</v>
      </c>
      <c r="BM74" s="1">
        <v>2</v>
      </c>
      <c r="BN74" s="1">
        <f t="shared" ref="BN74:BN80" si="77">IF($AR$11=0,NA(),VLOOKUP(BM74,$BM$58:$BO$65,2,FALSE))</f>
        <v>7198.3386615823856</v>
      </c>
      <c r="BO74" s="1">
        <f t="shared" ref="BO74:BO80" si="78">VLOOKUP(BM74,$BM$58:$BO$65,3,FALSE)</f>
        <v>-3717.6653150421507</v>
      </c>
      <c r="BP74" s="1">
        <v>2</v>
      </c>
      <c r="BQ74" s="1">
        <f t="shared" ref="BQ74:BQ82" si="79">IF($AR$11=0,NA(),VLOOKUP(IF($G$7&gt;3,BP74,0),$BP$58:$BR$65,2,FALSE))</f>
        <v>915.88016094290151</v>
      </c>
      <c r="BR74" s="1">
        <f t="shared" ref="BR74:BR82" si="80">VLOOKUP(BP74,$BP$58:$BR$65,3,FALSE)</f>
        <v>-7684.6431837893933</v>
      </c>
      <c r="BS74" s="1">
        <v>2</v>
      </c>
      <c r="BT74" s="1">
        <f t="shared" ref="BT74:BT79" si="81">VLOOKUP(IF($G$7&gt;4,BS74,0),$BS$58:$BU$63,2,FALSE)</f>
        <v>-1402.7811645172646</v>
      </c>
      <c r="BU74" s="1">
        <f t="shared" ref="BU74:BU79" si="82">VLOOKUP(BS74,$BS$58:$BU$63,3,FALSE)</f>
        <v>-5049.5245582924617</v>
      </c>
      <c r="BV74" s="1">
        <v>2</v>
      </c>
      <c r="BW74" s="1">
        <f t="shared" si="71"/>
        <v>-2106.8836069573736</v>
      </c>
      <c r="BX74" s="1">
        <f t="shared" si="72"/>
        <v>-2180.0799439368425</v>
      </c>
      <c r="BY74" s="1">
        <v>2</v>
      </c>
      <c r="BZ74" s="1" t="e">
        <f t="shared" ref="BZ74:BZ80" si="83">VLOOKUP(IF($G$7&gt;6,BY74,0),$BY$58:$CA$65,2,FALSE)</f>
        <v>#N/A</v>
      </c>
      <c r="CA74" s="1">
        <f t="shared" ref="CA74:CA80" si="84">VLOOKUP(BY74,$BY$58:$CA$65,3,FALSE)</f>
        <v>252.91653189109684</v>
      </c>
      <c r="CB74" s="1">
        <v>2</v>
      </c>
      <c r="CC74" s="1" t="e">
        <f t="shared" ref="CC74:CC80" si="85">VLOOKUP(IF($G$7&gt;7,CB74,0),$CB$58:$CD$63,2,FALSE)</f>
        <v>#N/A</v>
      </c>
      <c r="CD74" s="1">
        <f t="shared" ref="CD74:CD80" si="86">VLOOKUP(CB74,$CB$58:$CD$63,3,FALSE)</f>
        <v>-102.91653189109677</v>
      </c>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96"/>
      <c r="EA74" s="96"/>
      <c r="EB74" s="96"/>
      <c r="EC74" s="1"/>
      <c r="ED74" s="1"/>
    </row>
    <row r="75" spans="1:134" x14ac:dyDescent="0.2">
      <c r="A75" s="1"/>
      <c r="B75" s="1"/>
      <c r="C75" s="1"/>
      <c r="D75" s="1"/>
      <c r="E75" s="1"/>
      <c r="F75" s="1"/>
      <c r="G75" s="1"/>
      <c r="H75" s="1"/>
      <c r="I75" s="1"/>
      <c r="J75" s="1"/>
      <c r="K75" s="1"/>
      <c r="L75" s="1"/>
      <c r="M75" s="1"/>
      <c r="N75" s="1"/>
      <c r="O75" s="1"/>
      <c r="P75" s="1"/>
      <c r="AV75" s="1"/>
      <c r="AW75" s="1"/>
      <c r="AX75" s="1"/>
      <c r="AY75" s="1"/>
      <c r="AZ75" s="1"/>
      <c r="BA75" s="1"/>
      <c r="BB75" s="1"/>
      <c r="BC75" s="1"/>
      <c r="BD75" s="1"/>
      <c r="BE75" s="1"/>
      <c r="BF75" s="1"/>
      <c r="BG75" s="1">
        <v>4</v>
      </c>
      <c r="BH75" s="1">
        <f t="shared" si="73"/>
        <v>-90.729037053420939</v>
      </c>
      <c r="BI75" s="1">
        <f t="shared" si="74"/>
        <v>161.62436210137008</v>
      </c>
      <c r="BJ75" s="1">
        <v>3</v>
      </c>
      <c r="BK75" s="1">
        <f t="shared" si="75"/>
        <v>4534.0971934242489</v>
      </c>
      <c r="BL75" s="1">
        <f t="shared" si="76"/>
        <v>372.44511784417654</v>
      </c>
      <c r="BM75" s="1">
        <v>3</v>
      </c>
      <c r="BN75" s="1">
        <f t="shared" si="77"/>
        <v>7098.3386615823856</v>
      </c>
      <c r="BO75" s="1">
        <f t="shared" si="78"/>
        <v>-3717.6653150421507</v>
      </c>
      <c r="BP75" s="1">
        <v>3</v>
      </c>
      <c r="BQ75" s="1">
        <f t="shared" si="79"/>
        <v>1015.8801609429015</v>
      </c>
      <c r="BR75" s="1">
        <f t="shared" si="80"/>
        <v>-7684.6431837893933</v>
      </c>
      <c r="BS75" s="1">
        <v>3</v>
      </c>
      <c r="BT75" s="1">
        <f t="shared" si="81"/>
        <v>-1402.7811645172646</v>
      </c>
      <c r="BU75" s="1">
        <f t="shared" si="82"/>
        <v>-4899.5245582924617</v>
      </c>
      <c r="BV75" s="1">
        <v>3</v>
      </c>
      <c r="BW75" s="1">
        <f t="shared" si="71"/>
        <v>-2006.8836069573733</v>
      </c>
      <c r="BX75" s="1">
        <f t="shared" si="72"/>
        <v>-2180.0799439368425</v>
      </c>
      <c r="BY75" s="1">
        <v>3</v>
      </c>
      <c r="BZ75" s="1" t="e">
        <f t="shared" si="83"/>
        <v>#N/A</v>
      </c>
      <c r="CA75" s="1">
        <f t="shared" si="84"/>
        <v>202.91653189109684</v>
      </c>
      <c r="CB75" s="1">
        <v>3</v>
      </c>
      <c r="CC75" s="1" t="e">
        <f t="shared" si="85"/>
        <v>#N/A</v>
      </c>
      <c r="CD75" s="1">
        <f t="shared" si="86"/>
        <v>-252.91653189109678</v>
      </c>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96"/>
      <c r="EA75" s="96"/>
      <c r="EB75" s="96"/>
      <c r="EC75" s="1"/>
      <c r="ED75" s="1"/>
    </row>
    <row r="76" spans="1:134" x14ac:dyDescent="0.2">
      <c r="A76" s="1"/>
      <c r="B76" s="1"/>
      <c r="C76" s="1"/>
      <c r="D76" s="1"/>
      <c r="E76" s="1"/>
      <c r="F76" s="1"/>
      <c r="G76" s="1"/>
      <c r="H76" s="1"/>
      <c r="I76" s="1"/>
      <c r="J76" s="1"/>
      <c r="K76" s="1"/>
      <c r="L76" s="1"/>
      <c r="M76" s="1"/>
      <c r="N76" s="1"/>
      <c r="O76" s="1"/>
      <c r="P76" s="1"/>
      <c r="AV76" s="1"/>
      <c r="AW76" s="1"/>
      <c r="AX76" s="1"/>
      <c r="AY76" s="1"/>
      <c r="AZ76" s="1"/>
      <c r="BA76" s="1"/>
      <c r="BB76" s="1"/>
      <c r="BC76" s="1"/>
      <c r="BD76" s="1"/>
      <c r="BE76" s="1"/>
      <c r="BF76" s="1"/>
      <c r="BG76" s="1">
        <v>2</v>
      </c>
      <c r="BH76" s="1">
        <f t="shared" si="73"/>
        <v>-290.72903705342094</v>
      </c>
      <c r="BI76" s="1">
        <f t="shared" si="74"/>
        <v>161.62436210137008</v>
      </c>
      <c r="BJ76" s="1">
        <v>4</v>
      </c>
      <c r="BK76" s="1">
        <f t="shared" si="75"/>
        <v>4584.0971934242489</v>
      </c>
      <c r="BL76" s="1">
        <f t="shared" si="76"/>
        <v>322.44511784417654</v>
      </c>
      <c r="BM76" s="1">
        <v>4</v>
      </c>
      <c r="BN76" s="1">
        <f t="shared" si="77"/>
        <v>7048.3386615823856</v>
      </c>
      <c r="BO76" s="1">
        <f t="shared" si="78"/>
        <v>-3667.6653150421507</v>
      </c>
      <c r="BP76" s="1">
        <v>4</v>
      </c>
      <c r="BQ76" s="1">
        <f t="shared" si="79"/>
        <v>1065.8801609429015</v>
      </c>
      <c r="BR76" s="1">
        <f t="shared" si="80"/>
        <v>-7734.6431837893933</v>
      </c>
      <c r="BS76" s="1">
        <v>4</v>
      </c>
      <c r="BT76" s="1">
        <f t="shared" si="81"/>
        <v>-1302.7811645172646</v>
      </c>
      <c r="BU76" s="1">
        <f t="shared" si="82"/>
        <v>-4899.5245582924617</v>
      </c>
      <c r="BV76" s="1">
        <v>2</v>
      </c>
      <c r="BW76" s="1">
        <f t="shared" si="71"/>
        <v>-2106.8836069573736</v>
      </c>
      <c r="BX76" s="1">
        <f t="shared" si="72"/>
        <v>-2180.0799439368425</v>
      </c>
      <c r="BY76" s="1">
        <v>4</v>
      </c>
      <c r="BZ76" s="1" t="e">
        <f t="shared" si="83"/>
        <v>#N/A</v>
      </c>
      <c r="CA76" s="1">
        <f t="shared" si="84"/>
        <v>2.9165318910968523</v>
      </c>
      <c r="CB76" s="1">
        <v>2</v>
      </c>
      <c r="CC76" s="1" t="e">
        <f t="shared" si="85"/>
        <v>#N/A</v>
      </c>
      <c r="CD76" s="1">
        <f t="shared" si="86"/>
        <v>-102.91653189109677</v>
      </c>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96"/>
      <c r="EA76" s="96"/>
      <c r="EB76" s="96"/>
      <c r="EC76" s="1"/>
      <c r="ED76" s="1"/>
    </row>
    <row r="77" spans="1:134" x14ac:dyDescent="0.2">
      <c r="A77" s="1"/>
      <c r="B77" s="1"/>
      <c r="C77" s="1"/>
      <c r="D77" s="1"/>
      <c r="E77" s="1"/>
      <c r="F77" s="1"/>
      <c r="G77" s="1"/>
      <c r="H77" s="1"/>
      <c r="I77" s="1"/>
      <c r="J77" s="1"/>
      <c r="K77" s="1"/>
      <c r="L77" s="1"/>
      <c r="M77" s="1"/>
      <c r="N77" s="1"/>
      <c r="O77" s="1"/>
      <c r="P77" s="1"/>
      <c r="AV77" s="1"/>
      <c r="AW77" s="1"/>
      <c r="AX77" s="1"/>
      <c r="AY77" s="1"/>
      <c r="AZ77" s="1"/>
      <c r="BA77" s="1"/>
      <c r="BB77" s="1"/>
      <c r="BC77" s="1"/>
      <c r="BD77" s="1"/>
      <c r="BE77" s="1"/>
      <c r="BF77" s="1"/>
      <c r="BG77" s="1">
        <v>3</v>
      </c>
      <c r="BH77" s="1">
        <f t="shared" si="73"/>
        <v>-190.72903705342094</v>
      </c>
      <c r="BI77" s="1">
        <f t="shared" si="74"/>
        <v>361.62436210137008</v>
      </c>
      <c r="BJ77" s="1">
        <v>5</v>
      </c>
      <c r="BK77" s="1">
        <f t="shared" si="75"/>
        <v>4584.0971934242489</v>
      </c>
      <c r="BL77" s="1">
        <f t="shared" si="76"/>
        <v>272.44511784417654</v>
      </c>
      <c r="BM77" s="1">
        <v>5</v>
      </c>
      <c r="BN77" s="1">
        <f t="shared" si="77"/>
        <v>7048.3386615823856</v>
      </c>
      <c r="BO77" s="1">
        <f t="shared" si="78"/>
        <v>-3467.6653150421507</v>
      </c>
      <c r="BP77" s="1">
        <v>5</v>
      </c>
      <c r="BQ77" s="1">
        <f t="shared" si="79"/>
        <v>1065.8801609429015</v>
      </c>
      <c r="BR77" s="1">
        <f t="shared" si="80"/>
        <v>-7934.6431837893933</v>
      </c>
      <c r="BS77" s="1">
        <v>3</v>
      </c>
      <c r="BT77" s="1">
        <f t="shared" si="81"/>
        <v>-1402.7811645172646</v>
      </c>
      <c r="BU77" s="1">
        <f t="shared" si="82"/>
        <v>-4899.5245582924617</v>
      </c>
      <c r="BV77" s="1">
        <v>4</v>
      </c>
      <c r="BW77" s="1">
        <f t="shared" si="71"/>
        <v>-2106.8836069573736</v>
      </c>
      <c r="BX77" s="1">
        <f t="shared" si="72"/>
        <v>-2030.0799439368425</v>
      </c>
      <c r="BY77" s="1">
        <v>5</v>
      </c>
      <c r="BZ77" s="1" t="e">
        <f t="shared" si="83"/>
        <v>#N/A</v>
      </c>
      <c r="CA77" s="1">
        <f t="shared" si="84"/>
        <v>-47.083468108903148</v>
      </c>
      <c r="CB77" s="1">
        <v>5</v>
      </c>
      <c r="CC77" s="1" t="e">
        <f t="shared" si="85"/>
        <v>#N/A</v>
      </c>
      <c r="CD77" s="1">
        <f t="shared" si="86"/>
        <v>-102.91653189109677</v>
      </c>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96"/>
      <c r="EA77" s="96"/>
      <c r="EB77" s="96"/>
      <c r="EC77" s="1"/>
      <c r="ED77" s="1"/>
    </row>
    <row r="78" spans="1:134" x14ac:dyDescent="0.2">
      <c r="A78" s="1"/>
      <c r="B78" s="1"/>
      <c r="C78" s="1"/>
      <c r="D78" s="1"/>
      <c r="E78" s="1"/>
      <c r="F78" s="1"/>
      <c r="G78" s="1"/>
      <c r="H78" s="1"/>
      <c r="I78" s="1"/>
      <c r="J78" s="1"/>
      <c r="K78" s="1"/>
      <c r="L78" s="1"/>
      <c r="M78" s="1"/>
      <c r="N78" s="1"/>
      <c r="O78" s="1"/>
      <c r="P78" s="1"/>
      <c r="AV78" s="1"/>
      <c r="AW78" s="1"/>
      <c r="AX78" s="1"/>
      <c r="AY78" s="1"/>
      <c r="AZ78" s="1"/>
      <c r="BA78" s="1"/>
      <c r="BB78" s="1"/>
      <c r="BC78" s="1"/>
      <c r="BD78" s="1"/>
      <c r="BE78" s="1"/>
      <c r="BF78" s="1"/>
      <c r="BG78" s="1">
        <v>4</v>
      </c>
      <c r="BH78" s="1">
        <f t="shared" si="73"/>
        <v>-90.729037053420939</v>
      </c>
      <c r="BI78" s="1">
        <f t="shared" si="74"/>
        <v>161.62436210137008</v>
      </c>
      <c r="BJ78" s="1">
        <v>6</v>
      </c>
      <c r="BK78" s="1">
        <f t="shared" si="75"/>
        <v>4534.0971934242489</v>
      </c>
      <c r="BL78" s="1">
        <f t="shared" si="76"/>
        <v>222.44511784417654</v>
      </c>
      <c r="BM78" s="1">
        <v>6</v>
      </c>
      <c r="BN78" s="1">
        <f t="shared" si="77"/>
        <v>7098.3386615823856</v>
      </c>
      <c r="BO78" s="1">
        <f t="shared" si="78"/>
        <v>-3417.6653150421507</v>
      </c>
      <c r="BP78" s="1">
        <v>6</v>
      </c>
      <c r="BQ78" s="1">
        <f t="shared" si="79"/>
        <v>1015.8801609429015</v>
      </c>
      <c r="BR78" s="1">
        <f t="shared" si="80"/>
        <v>-7984.6431837893933</v>
      </c>
      <c r="BS78" s="1">
        <v>5</v>
      </c>
      <c r="BT78" s="1">
        <f t="shared" si="81"/>
        <v>-1402.7811645172646</v>
      </c>
      <c r="BU78" s="1">
        <f t="shared" si="82"/>
        <v>-4749.5245582924617</v>
      </c>
      <c r="BV78" s="1">
        <v>5</v>
      </c>
      <c r="BW78" s="1">
        <f t="shared" si="71"/>
        <v>-1906.8836069573733</v>
      </c>
      <c r="BX78" s="1">
        <f t="shared" si="72"/>
        <v>-2030.0799439368425</v>
      </c>
      <c r="BY78" s="1">
        <v>6</v>
      </c>
      <c r="BZ78" s="1" t="e">
        <f t="shared" si="83"/>
        <v>#N/A</v>
      </c>
      <c r="CA78" s="1">
        <f t="shared" si="84"/>
        <v>-47.083468108903148</v>
      </c>
      <c r="CB78" s="1">
        <v>4</v>
      </c>
      <c r="CC78" s="1" t="e">
        <f t="shared" si="85"/>
        <v>#N/A</v>
      </c>
      <c r="CD78" s="1">
        <f t="shared" si="86"/>
        <v>47.083468108903233</v>
      </c>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96"/>
      <c r="EA78" s="96"/>
      <c r="EB78" s="96"/>
      <c r="EC78" s="1"/>
      <c r="ED78" s="1"/>
    </row>
    <row r="79" spans="1:134" x14ac:dyDescent="0.2">
      <c r="A79" s="1"/>
      <c r="B79" s="1"/>
      <c r="C79" s="1"/>
      <c r="D79" s="1"/>
      <c r="E79" s="1"/>
      <c r="F79" s="1"/>
      <c r="G79" s="1"/>
      <c r="H79" s="1"/>
      <c r="I79" s="1"/>
      <c r="J79" s="1"/>
      <c r="K79" s="1"/>
      <c r="L79" s="1"/>
      <c r="M79" s="1"/>
      <c r="N79" s="1"/>
      <c r="O79" s="1"/>
      <c r="P79" s="1"/>
      <c r="AV79" s="1"/>
      <c r="AW79" s="1"/>
      <c r="AX79" s="1"/>
      <c r="AY79" s="1"/>
      <c r="AZ79" s="1"/>
      <c r="BA79" s="1"/>
      <c r="BB79" s="1"/>
      <c r="BC79" s="1"/>
      <c r="BD79" s="1"/>
      <c r="BE79" s="1"/>
      <c r="BF79" s="1"/>
      <c r="BG79" s="1">
        <v>5</v>
      </c>
      <c r="BH79" s="1">
        <f t="shared" si="73"/>
        <v>-90.729037053420939</v>
      </c>
      <c r="BI79" s="1">
        <f t="shared" si="74"/>
        <v>61.624362101370082</v>
      </c>
      <c r="BJ79" s="1">
        <v>12</v>
      </c>
      <c r="BK79" s="1">
        <f t="shared" si="75"/>
        <v>4434.0971934242489</v>
      </c>
      <c r="BL79" s="1">
        <f t="shared" si="76"/>
        <v>222.44511784417654</v>
      </c>
      <c r="BM79" s="1">
        <v>7</v>
      </c>
      <c r="BN79" s="1">
        <f t="shared" si="77"/>
        <v>7198.3386615823856</v>
      </c>
      <c r="BO79" s="1">
        <f t="shared" si="78"/>
        <v>-3417.6653150421507</v>
      </c>
      <c r="BP79" s="1">
        <v>7</v>
      </c>
      <c r="BQ79" s="1">
        <f t="shared" si="79"/>
        <v>915.88016094290151</v>
      </c>
      <c r="BR79" s="1">
        <f t="shared" si="80"/>
        <v>-7984.6431837893933</v>
      </c>
      <c r="BS79" s="1">
        <v>6</v>
      </c>
      <c r="BT79" s="1">
        <f t="shared" si="81"/>
        <v>-1202.7811645172646</v>
      </c>
      <c r="BU79" s="1">
        <f t="shared" si="82"/>
        <v>-4749.5245582924617</v>
      </c>
      <c r="BV79" s="1"/>
      <c r="BW79" s="1"/>
      <c r="BX79" s="1"/>
      <c r="BY79" s="1">
        <v>7</v>
      </c>
      <c r="BZ79" s="1" t="e">
        <f t="shared" si="83"/>
        <v>#N/A</v>
      </c>
      <c r="CA79" s="1">
        <f t="shared" si="84"/>
        <v>102.91653189109685</v>
      </c>
      <c r="CB79" s="1">
        <v>5</v>
      </c>
      <c r="CC79" s="1" t="e">
        <f t="shared" si="85"/>
        <v>#N/A</v>
      </c>
      <c r="CD79" s="1">
        <f t="shared" si="86"/>
        <v>-102.91653189109677</v>
      </c>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96"/>
      <c r="EA79" s="96"/>
      <c r="EB79" s="96"/>
      <c r="EC79" s="1"/>
      <c r="ED79" s="1"/>
    </row>
    <row r="80" spans="1:134" x14ac:dyDescent="0.2">
      <c r="A80" s="1"/>
      <c r="B80" s="1"/>
      <c r="C80" s="1"/>
      <c r="D80" s="1"/>
      <c r="E80" s="1"/>
      <c r="F80" s="1"/>
      <c r="G80" s="1"/>
      <c r="H80" s="1"/>
      <c r="I80" s="1"/>
      <c r="J80" s="1"/>
      <c r="K80" s="1"/>
      <c r="L80" s="1"/>
      <c r="M80" s="1"/>
      <c r="N80" s="1"/>
      <c r="O80" s="1"/>
      <c r="P80" s="1"/>
      <c r="AV80" s="1"/>
      <c r="AW80" s="1"/>
      <c r="AX80" s="1"/>
      <c r="AY80" s="1"/>
      <c r="AZ80" s="1"/>
      <c r="BA80" s="1"/>
      <c r="BB80" s="1"/>
      <c r="BC80" s="1"/>
      <c r="BD80" s="1"/>
      <c r="BE80" s="1"/>
      <c r="BF80" s="1"/>
      <c r="BG80" s="1"/>
      <c r="BH80" s="1"/>
      <c r="BI80" s="1"/>
      <c r="BJ80" s="1">
        <v>6</v>
      </c>
      <c r="BK80" s="1">
        <f t="shared" si="75"/>
        <v>4534.0971934242489</v>
      </c>
      <c r="BL80" s="1">
        <f t="shared" si="76"/>
        <v>222.44511784417654</v>
      </c>
      <c r="BM80" s="1">
        <v>8</v>
      </c>
      <c r="BN80" s="1">
        <f t="shared" si="77"/>
        <v>7248.3386615823856</v>
      </c>
      <c r="BO80" s="1">
        <f t="shared" si="78"/>
        <v>-3467.6653150421507</v>
      </c>
      <c r="BP80" s="1">
        <v>8</v>
      </c>
      <c r="BQ80" s="1">
        <f t="shared" si="79"/>
        <v>865.88016094290151</v>
      </c>
      <c r="BR80" s="1">
        <f t="shared" si="80"/>
        <v>-7984.6431837893933</v>
      </c>
      <c r="BS80" s="1"/>
      <c r="BT80" s="1"/>
      <c r="BU80" s="1"/>
      <c r="BV80" s="1"/>
      <c r="BW80" s="1"/>
      <c r="BX80" s="1"/>
      <c r="BY80" s="1">
        <v>8</v>
      </c>
      <c r="BZ80" s="1" t="e">
        <f t="shared" si="83"/>
        <v>#N/A</v>
      </c>
      <c r="CA80" s="1">
        <f t="shared" si="84"/>
        <v>102.91653189109685</v>
      </c>
      <c r="CB80" s="1">
        <v>6</v>
      </c>
      <c r="CC80" s="1" t="e">
        <f t="shared" si="85"/>
        <v>#N/A</v>
      </c>
      <c r="CD80" s="1">
        <f t="shared" si="86"/>
        <v>-252.91653189109678</v>
      </c>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96"/>
      <c r="EA80" s="96"/>
      <c r="EB80" s="96"/>
      <c r="EC80" s="1"/>
      <c r="ED80" s="1"/>
    </row>
    <row r="81" spans="1:134" x14ac:dyDescent="0.2">
      <c r="A81" s="1"/>
      <c r="B81" s="1"/>
      <c r="C81" s="1"/>
      <c r="D81" s="1"/>
      <c r="E81" s="1"/>
      <c r="F81" s="1"/>
      <c r="G81" s="1"/>
      <c r="H81" s="1"/>
      <c r="I81" s="1"/>
      <c r="J81" s="1"/>
      <c r="K81" s="1"/>
      <c r="L81" s="1"/>
      <c r="M81" s="1"/>
      <c r="N81" s="1"/>
      <c r="O81" s="1"/>
      <c r="P81" s="1"/>
      <c r="AV81" s="1"/>
      <c r="AW81" s="1"/>
      <c r="AX81" s="1"/>
      <c r="AY81" s="1"/>
      <c r="AZ81" s="1"/>
      <c r="BA81" s="1"/>
      <c r="BB81" s="1"/>
      <c r="BC81" s="1"/>
      <c r="BD81" s="1"/>
      <c r="BE81" s="1"/>
      <c r="BF81" s="1"/>
      <c r="BG81" s="1"/>
      <c r="BH81" s="1"/>
      <c r="BI81" s="1"/>
      <c r="BJ81" s="1">
        <v>7</v>
      </c>
      <c r="BK81" s="1">
        <f t="shared" si="75"/>
        <v>4584.0971934242489</v>
      </c>
      <c r="BL81" s="1">
        <f t="shared" si="76"/>
        <v>172.44511784417654</v>
      </c>
      <c r="BM81" s="1"/>
      <c r="BN81" s="1"/>
      <c r="BO81" s="1"/>
      <c r="BP81" s="1">
        <v>7</v>
      </c>
      <c r="BQ81" s="1">
        <f t="shared" si="79"/>
        <v>915.88016094290151</v>
      </c>
      <c r="BR81" s="1">
        <f t="shared" si="80"/>
        <v>-7984.6431837893933</v>
      </c>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96"/>
      <c r="EA81" s="96"/>
      <c r="EB81" s="96"/>
      <c r="EC81" s="1"/>
      <c r="ED81" s="1"/>
    </row>
    <row r="82" spans="1:134" x14ac:dyDescent="0.2">
      <c r="A82" s="1"/>
      <c r="B82" s="1"/>
      <c r="C82" s="1"/>
      <c r="D82" s="1"/>
      <c r="E82" s="1"/>
      <c r="F82" s="1"/>
      <c r="G82" s="1"/>
      <c r="H82" s="1"/>
      <c r="I82" s="1"/>
      <c r="J82" s="1"/>
      <c r="K82" s="1"/>
      <c r="L82" s="1"/>
      <c r="M82" s="1"/>
      <c r="N82" s="1"/>
      <c r="O82" s="1"/>
      <c r="P82" s="1"/>
      <c r="AV82" s="1"/>
      <c r="AW82" s="1"/>
      <c r="AX82" s="1"/>
      <c r="AY82" s="1"/>
      <c r="AZ82" s="1"/>
      <c r="BA82" s="1"/>
      <c r="BB82" s="1"/>
      <c r="BC82" s="1"/>
      <c r="BD82" s="1"/>
      <c r="BE82" s="1"/>
      <c r="BF82" s="1"/>
      <c r="BG82" s="1"/>
      <c r="BH82" s="1"/>
      <c r="BI82" s="1"/>
      <c r="BJ82" s="1">
        <v>8</v>
      </c>
      <c r="BK82" s="1">
        <f t="shared" si="75"/>
        <v>4584.0971934242489</v>
      </c>
      <c r="BL82" s="1">
        <f t="shared" si="76"/>
        <v>122.44511784417654</v>
      </c>
      <c r="BM82" s="1"/>
      <c r="BN82" s="1"/>
      <c r="BO82" s="1"/>
      <c r="BP82" s="1">
        <v>2</v>
      </c>
      <c r="BQ82" s="1">
        <f t="shared" si="79"/>
        <v>915.88016094290151</v>
      </c>
      <c r="BR82" s="1">
        <f t="shared" si="80"/>
        <v>-7684.6431837893933</v>
      </c>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96"/>
      <c r="EA82" s="96"/>
      <c r="EB82" s="96"/>
      <c r="EC82" s="1"/>
      <c r="ED82" s="1"/>
    </row>
    <row r="83" spans="1:134" x14ac:dyDescent="0.2">
      <c r="A83" s="1"/>
      <c r="B83" s="1"/>
      <c r="C83" s="1"/>
      <c r="D83" s="1"/>
      <c r="E83" s="1"/>
      <c r="F83" s="1"/>
      <c r="G83" s="1"/>
      <c r="H83" s="1"/>
      <c r="I83" s="1"/>
      <c r="J83" s="1"/>
      <c r="K83" s="1"/>
      <c r="L83" s="1"/>
      <c r="M83" s="1"/>
      <c r="N83" s="1"/>
      <c r="O83" s="1"/>
      <c r="P83" s="1"/>
      <c r="AV83" s="1"/>
      <c r="AW83" s="1"/>
      <c r="AX83" s="1"/>
      <c r="AY83" s="1"/>
      <c r="AZ83" s="1"/>
      <c r="BA83" s="1"/>
      <c r="BB83" s="1"/>
      <c r="BC83" s="1"/>
      <c r="BD83" s="1"/>
      <c r="BE83" s="1"/>
      <c r="BF83" s="1"/>
      <c r="BG83" s="1"/>
      <c r="BH83" s="1"/>
      <c r="BI83" s="1"/>
      <c r="BJ83" s="1">
        <v>9</v>
      </c>
      <c r="BK83" s="1">
        <f t="shared" si="75"/>
        <v>4534.0971934242489</v>
      </c>
      <c r="BL83" s="1">
        <f t="shared" si="76"/>
        <v>72.445117844176536</v>
      </c>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96"/>
      <c r="EA83" s="96"/>
      <c r="EB83" s="96"/>
      <c r="EC83" s="1"/>
      <c r="ED83" s="1"/>
    </row>
    <row r="84" spans="1:134" x14ac:dyDescent="0.2">
      <c r="A84" s="1"/>
      <c r="B84" s="1"/>
      <c r="C84" s="1"/>
      <c r="D84" s="1"/>
      <c r="E84" s="1"/>
      <c r="F84" s="1"/>
      <c r="G84" s="1"/>
      <c r="H84" s="1"/>
      <c r="I84" s="1"/>
      <c r="J84" s="1"/>
      <c r="K84" s="1"/>
      <c r="L84" s="1"/>
      <c r="M84" s="1"/>
      <c r="N84" s="1"/>
      <c r="O84" s="1"/>
      <c r="P84" s="1"/>
      <c r="AV84" s="1"/>
      <c r="AW84" s="1"/>
      <c r="AX84" s="1"/>
      <c r="AY84" s="1"/>
      <c r="AZ84" s="1"/>
      <c r="BA84" s="1"/>
      <c r="BB84" s="1"/>
      <c r="BC84" s="1"/>
      <c r="BD84" s="1"/>
      <c r="BE84" s="1"/>
      <c r="BF84" s="1"/>
      <c r="BG84" s="1"/>
      <c r="BH84" s="1"/>
      <c r="BI84" s="1"/>
      <c r="BJ84" s="1">
        <v>10</v>
      </c>
      <c r="BK84" s="1">
        <f t="shared" si="75"/>
        <v>4434.0971934242489</v>
      </c>
      <c r="BL84" s="1">
        <f t="shared" si="76"/>
        <v>72.445117844176536</v>
      </c>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row>
    <row r="85" spans="1:134" x14ac:dyDescent="0.2">
      <c r="A85" s="1"/>
      <c r="B85" s="1"/>
      <c r="C85" s="1"/>
      <c r="D85" s="1"/>
      <c r="E85" s="1"/>
      <c r="F85" s="1"/>
      <c r="G85" s="1"/>
      <c r="H85" s="1"/>
      <c r="I85" s="1"/>
      <c r="J85" s="1"/>
      <c r="K85" s="1"/>
      <c r="L85" s="1"/>
      <c r="M85" s="1"/>
      <c r="N85" s="1"/>
      <c r="O85" s="1"/>
      <c r="P85" s="1"/>
      <c r="AV85" s="1"/>
      <c r="AW85" s="1"/>
      <c r="AX85" s="1"/>
      <c r="AY85" s="1"/>
      <c r="AZ85" s="1"/>
      <c r="BA85" s="1"/>
      <c r="BB85" s="1"/>
      <c r="BC85" s="1"/>
      <c r="BD85" s="1"/>
      <c r="BE85" s="1"/>
      <c r="BF85" s="1"/>
      <c r="BG85" s="1"/>
      <c r="BH85" s="1"/>
      <c r="BI85" s="1"/>
      <c r="BJ85" s="1">
        <v>11</v>
      </c>
      <c r="BK85" s="1">
        <f t="shared" si="75"/>
        <v>4384.0971934242489</v>
      </c>
      <c r="BL85" s="1">
        <f t="shared" si="76"/>
        <v>72.445117844176536</v>
      </c>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row>
    <row r="86" spans="1:134" x14ac:dyDescent="0.2">
      <c r="A86" s="1"/>
      <c r="B86" s="1"/>
      <c r="C86" s="1"/>
      <c r="D86" s="1"/>
      <c r="E86" s="1"/>
      <c r="F86" s="1"/>
      <c r="G86" s="1"/>
      <c r="H86" s="1"/>
      <c r="I86" s="1"/>
      <c r="J86" s="1"/>
      <c r="K86" s="1"/>
      <c r="L86" s="1"/>
      <c r="M86" s="1"/>
      <c r="N86" s="1"/>
      <c r="O86" s="1"/>
      <c r="P86" s="1"/>
      <c r="AV86" s="1"/>
      <c r="AW86" s="1"/>
      <c r="AX86" s="1"/>
      <c r="AY86" s="1"/>
      <c r="AZ86" s="1"/>
      <c r="BA86" s="1"/>
      <c r="BB86" s="1"/>
      <c r="BC86" s="1"/>
      <c r="BD86" s="1"/>
      <c r="BE86" s="1"/>
      <c r="BF86" s="1"/>
      <c r="BG86" s="1"/>
      <c r="BH86" s="1"/>
      <c r="BI86" s="1"/>
      <c r="BJ86" s="1">
        <v>10</v>
      </c>
      <c r="BK86" s="1">
        <f t="shared" si="75"/>
        <v>4434.0971934242489</v>
      </c>
      <c r="BL86" s="1">
        <f t="shared" si="76"/>
        <v>72.445117844176536</v>
      </c>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row>
    <row r="87" spans="1:134" x14ac:dyDescent="0.2">
      <c r="A87" s="1"/>
      <c r="B87" s="1"/>
      <c r="C87" s="1"/>
      <c r="D87" s="1"/>
      <c r="E87" s="1"/>
      <c r="F87" s="1"/>
      <c r="G87" s="1"/>
      <c r="H87" s="1"/>
      <c r="I87" s="1"/>
      <c r="J87" s="1"/>
      <c r="K87" s="1"/>
      <c r="L87" s="1"/>
      <c r="M87" s="1"/>
      <c r="N87" s="1"/>
      <c r="O87" s="1"/>
      <c r="P87" s="1"/>
      <c r="AV87" s="1"/>
      <c r="AW87" s="1"/>
      <c r="AX87" s="1"/>
      <c r="AY87" s="1"/>
      <c r="AZ87" s="1"/>
      <c r="BA87" s="1"/>
      <c r="BB87" s="1"/>
      <c r="BC87" s="1"/>
      <c r="BD87" s="1"/>
      <c r="BE87" s="1"/>
      <c r="BF87" s="1"/>
      <c r="BG87" s="1"/>
      <c r="BH87" s="1"/>
      <c r="BI87" s="1"/>
      <c r="BJ87" s="1">
        <v>12</v>
      </c>
      <c r="BK87" s="1">
        <f t="shared" si="75"/>
        <v>4434.0971934242489</v>
      </c>
      <c r="BL87" s="1">
        <f t="shared" si="76"/>
        <v>222.44511784417654</v>
      </c>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row>
    <row r="88" spans="1:134" x14ac:dyDescent="0.2">
      <c r="A88" s="1"/>
      <c r="B88" s="1"/>
      <c r="C88" s="1"/>
      <c r="D88" s="1"/>
      <c r="E88" s="1"/>
      <c r="F88" s="1"/>
      <c r="G88" s="1"/>
      <c r="H88" s="1"/>
      <c r="I88" s="1"/>
      <c r="J88" s="1"/>
      <c r="K88" s="1"/>
      <c r="L88" s="1"/>
      <c r="M88" s="1"/>
      <c r="N88" s="1"/>
      <c r="O88" s="1"/>
      <c r="P88" s="1"/>
      <c r="AV88" s="1"/>
      <c r="AW88" s="1"/>
      <c r="AX88" s="1"/>
      <c r="AY88" s="1"/>
      <c r="AZ88" s="1"/>
      <c r="BA88" s="1"/>
      <c r="BB88" s="1"/>
      <c r="BC88" s="1"/>
      <c r="BD88" s="1"/>
      <c r="BE88" s="1"/>
      <c r="BF88" s="1"/>
      <c r="BG88" s="1"/>
      <c r="BH88" s="1"/>
      <c r="BI88" s="1"/>
      <c r="BJ88" s="1">
        <v>2</v>
      </c>
      <c r="BK88" s="1">
        <f t="shared" si="75"/>
        <v>4434.0971934242489</v>
      </c>
      <c r="BL88" s="1">
        <f t="shared" si="76"/>
        <v>372.44511784417654</v>
      </c>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row>
    <row r="89" spans="1:134" x14ac:dyDescent="0.2">
      <c r="A89" s="1"/>
      <c r="B89" s="1"/>
      <c r="C89" s="1"/>
      <c r="D89" s="1"/>
      <c r="E89" s="1"/>
      <c r="F89" s="1"/>
      <c r="G89" s="1"/>
      <c r="H89" s="1"/>
      <c r="I89" s="1"/>
      <c r="J89" s="1"/>
      <c r="K89" s="1"/>
      <c r="L89" s="1"/>
      <c r="M89" s="1"/>
      <c r="N89" s="1"/>
      <c r="O89" s="1"/>
      <c r="P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row>
    <row r="90" spans="1:134" x14ac:dyDescent="0.2">
      <c r="A90" s="1"/>
      <c r="B90" s="1"/>
      <c r="C90" s="1"/>
      <c r="D90" s="1"/>
      <c r="E90" s="1"/>
      <c r="F90" s="1"/>
      <c r="G90" s="1"/>
      <c r="H90" s="1"/>
      <c r="I90" s="1"/>
      <c r="J90" s="1"/>
      <c r="K90" s="1"/>
      <c r="L90" s="1"/>
      <c r="M90" s="1"/>
      <c r="N90" s="1"/>
      <c r="O90" s="1"/>
      <c r="P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row>
    <row r="91" spans="1:134" x14ac:dyDescent="0.2">
      <c r="A91" s="1"/>
      <c r="B91" s="1"/>
      <c r="C91" s="1"/>
      <c r="D91" s="1"/>
      <c r="E91" s="1"/>
      <c r="F91" s="1"/>
      <c r="G91" s="1"/>
      <c r="H91" s="1"/>
      <c r="I91" s="1"/>
      <c r="J91" s="1"/>
      <c r="K91" s="1"/>
      <c r="L91" s="1"/>
      <c r="M91" s="1"/>
      <c r="N91" s="1"/>
      <c r="O91" s="1"/>
      <c r="P91" s="1"/>
      <c r="AV91" s="1"/>
      <c r="AW91" s="1"/>
      <c r="AX91" s="1"/>
      <c r="AY91" s="1"/>
      <c r="AZ91" s="1"/>
      <c r="BA91" s="1"/>
      <c r="BB91" s="1"/>
      <c r="BC91" s="1"/>
      <c r="BD91" s="1"/>
      <c r="BE91" s="1"/>
      <c r="BF91" s="1"/>
      <c r="BG91" s="1"/>
      <c r="BH91" s="1" t="s">
        <v>49</v>
      </c>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row>
    <row r="92" spans="1:134" x14ac:dyDescent="0.2">
      <c r="A92" s="1"/>
      <c r="B92" s="1"/>
      <c r="C92" s="1"/>
      <c r="D92" s="1"/>
      <c r="E92" s="1"/>
      <c r="F92" s="1"/>
      <c r="G92" s="1"/>
      <c r="H92" s="1"/>
      <c r="I92" s="1"/>
      <c r="J92" s="1"/>
      <c r="K92" s="1"/>
      <c r="L92" s="1"/>
      <c r="M92" s="1"/>
      <c r="N92" s="1"/>
      <c r="O92" s="1"/>
      <c r="P92" s="1"/>
      <c r="AV92" s="1"/>
      <c r="AW92" s="1"/>
      <c r="AX92" s="1"/>
      <c r="AY92" s="1"/>
      <c r="AZ92" s="1"/>
      <c r="BA92" s="1"/>
      <c r="BB92" s="1"/>
      <c r="BC92" s="1"/>
      <c r="BD92" s="1"/>
      <c r="BE92" s="1"/>
      <c r="BF92" s="1"/>
      <c r="BG92" s="1"/>
      <c r="BH92" s="1" t="s">
        <v>158</v>
      </c>
      <c r="BI92" s="1" t="s">
        <v>159</v>
      </c>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row>
    <row r="93" spans="1:134" x14ac:dyDescent="0.2">
      <c r="A93" s="1"/>
      <c r="B93" s="1"/>
      <c r="C93" s="1"/>
      <c r="D93" s="1"/>
      <c r="E93" s="1"/>
      <c r="F93" s="1"/>
      <c r="G93" s="1"/>
      <c r="H93" s="1"/>
      <c r="I93" s="1"/>
      <c r="J93" s="1"/>
      <c r="K93" s="1"/>
      <c r="L93" s="1"/>
      <c r="M93" s="1"/>
      <c r="N93" s="1"/>
      <c r="O93" s="1"/>
      <c r="P93" s="1"/>
      <c r="AV93" s="1"/>
      <c r="AW93" s="1"/>
      <c r="AX93" s="1"/>
      <c r="AY93" s="1"/>
      <c r="AZ93" s="1"/>
      <c r="BA93" s="1"/>
      <c r="BB93" s="1"/>
      <c r="BC93" s="1"/>
      <c r="BD93" s="1"/>
      <c r="BE93" s="1"/>
      <c r="BF93" s="1"/>
      <c r="BG93" s="1" t="s">
        <v>199</v>
      </c>
      <c r="BH93" s="1" t="e">
        <f>IF(ISERROR(400*COS(VLOOKUP(BJ93,AD11:AU18,9,FALSE))),0,400*COS(VLOOKUP(BJ93,AD11:AU18,9,FALSE)))+VLOOKUP(BJ93,AD11:AU18,17,FALSE)</f>
        <v>#N/A</v>
      </c>
      <c r="BI93" s="1" t="e">
        <f>IF(ISERROR(400*SIN(VLOOKUP(BJ93,AD11:AU18,9,FALSE))),0,400*SIN(VLOOKUP(BJ93,AD11:AU18,9,FALSE)))+VLOOKUP(BJ93,AD11:AU18,18,FALSE)</f>
        <v>#N/A</v>
      </c>
      <c r="BJ93" s="1" t="e">
        <f>VLOOKUP("TAG",G11:H18,2,FALSE)</f>
        <v>#N/A</v>
      </c>
      <c r="BK93" s="1" t="e">
        <f>VLOOKUP(BJ93,AD11:AU18,9,FALSE)</f>
        <v>#N/A</v>
      </c>
      <c r="BL93" s="1" t="e">
        <f>COS(BK93)</f>
        <v>#N/A</v>
      </c>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row>
    <row r="94" spans="1:134" x14ac:dyDescent="0.2">
      <c r="A94" s="1"/>
      <c r="B94" s="1"/>
      <c r="C94" s="1"/>
      <c r="D94" s="1"/>
      <c r="E94" s="1"/>
      <c r="F94" s="1"/>
      <c r="G94" s="1"/>
      <c r="H94" s="1"/>
      <c r="I94" s="1"/>
      <c r="J94" s="1"/>
      <c r="K94" s="1"/>
      <c r="L94" s="1"/>
      <c r="M94" s="1"/>
      <c r="N94" s="1"/>
      <c r="O94" s="1"/>
      <c r="P94" s="1"/>
      <c r="AV94" s="1"/>
      <c r="AW94" s="1"/>
      <c r="AX94" s="1"/>
      <c r="AY94" s="1"/>
      <c r="AZ94" s="1"/>
      <c r="BA94" s="1"/>
      <c r="BB94" s="1"/>
      <c r="BC94" s="1"/>
      <c r="BD94" s="1"/>
      <c r="BE94" s="1"/>
      <c r="BF94" s="1"/>
      <c r="BG94" s="1">
        <v>1</v>
      </c>
      <c r="BH94" s="1" t="e">
        <f>IF(ISERROR(BH73),NA(),BH93-100)</f>
        <v>#N/A</v>
      </c>
      <c r="BI94" s="1" t="e">
        <f>BI93+75</f>
        <v>#N/A</v>
      </c>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row>
    <row r="95" spans="1:134" x14ac:dyDescent="0.2">
      <c r="A95" s="1"/>
      <c r="B95" s="1"/>
      <c r="C95" s="1"/>
      <c r="D95" s="1"/>
      <c r="E95" s="1"/>
      <c r="F95" s="1"/>
      <c r="G95" s="1"/>
      <c r="H95" s="1"/>
      <c r="I95" s="1"/>
      <c r="J95" s="1"/>
      <c r="K95" s="1"/>
      <c r="L95" s="1"/>
      <c r="M95" s="1"/>
      <c r="N95" s="1"/>
      <c r="O95" s="1"/>
      <c r="P95" s="1"/>
      <c r="AV95" s="1"/>
      <c r="AW95" s="1"/>
      <c r="AX95" s="1"/>
      <c r="AY95" s="1"/>
      <c r="AZ95" s="1"/>
      <c r="BA95" s="1"/>
      <c r="BB95" s="1"/>
      <c r="BC95" s="1"/>
      <c r="BD95" s="1"/>
      <c r="BE95" s="1"/>
      <c r="BF95" s="1"/>
      <c r="BG95" s="1">
        <v>2</v>
      </c>
      <c r="BH95" s="1" t="e">
        <f>IF(ISERROR(BH73),NA(),BH93+100)</f>
        <v>#N/A</v>
      </c>
      <c r="BI95" s="1" t="e">
        <f>BI93+75</f>
        <v>#N/A</v>
      </c>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row>
    <row r="96" spans="1:134" x14ac:dyDescent="0.2">
      <c r="A96" s="1"/>
      <c r="B96" s="1"/>
      <c r="C96" s="1"/>
      <c r="D96" s="1"/>
      <c r="E96" s="1"/>
      <c r="F96" s="1"/>
      <c r="G96" s="1"/>
      <c r="H96" s="1"/>
      <c r="I96" s="1"/>
      <c r="J96" s="1"/>
      <c r="K96" s="1"/>
      <c r="L96" s="1"/>
      <c r="M96" s="1"/>
      <c r="N96" s="1"/>
      <c r="O96" s="1"/>
      <c r="P96" s="1"/>
      <c r="AV96" s="1"/>
      <c r="AW96" s="1"/>
      <c r="AX96" s="1"/>
      <c r="AY96" s="1"/>
      <c r="AZ96" s="1"/>
      <c r="BA96" s="1"/>
      <c r="BB96" s="1"/>
      <c r="BC96" s="1"/>
      <c r="BD96" s="1"/>
      <c r="BE96" s="1"/>
      <c r="BF96" s="1"/>
      <c r="BG96" s="1">
        <v>3</v>
      </c>
      <c r="BH96" s="1" t="e">
        <f>IF(ISERROR(BH73),NA(),BH93+100)</f>
        <v>#N/A</v>
      </c>
      <c r="BI96" s="1" t="e">
        <f>BI93-75</f>
        <v>#N/A</v>
      </c>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row>
    <row r="97" spans="1:112" x14ac:dyDescent="0.2">
      <c r="A97" s="1"/>
      <c r="B97" s="1"/>
      <c r="C97" s="1"/>
      <c r="D97" s="1"/>
      <c r="E97" s="1"/>
      <c r="F97" s="1"/>
      <c r="G97" s="1"/>
      <c r="H97" s="1"/>
      <c r="I97" s="1"/>
      <c r="J97" s="1"/>
      <c r="K97" s="1"/>
      <c r="L97" s="1"/>
      <c r="M97" s="1"/>
      <c r="N97" s="1"/>
      <c r="O97" s="1"/>
      <c r="P97" s="1"/>
      <c r="AV97" s="1"/>
      <c r="AW97" s="1"/>
      <c r="AX97" s="1"/>
      <c r="AY97" s="1"/>
      <c r="AZ97" s="1"/>
      <c r="BA97" s="1"/>
      <c r="BB97" s="1"/>
      <c r="BC97" s="1"/>
      <c r="BD97" s="1"/>
      <c r="BE97" s="1"/>
      <c r="BF97" s="1"/>
      <c r="BG97" s="1">
        <v>4</v>
      </c>
      <c r="BH97" s="1" t="e">
        <f>IF(ISERROR(BH73),NA(),BH93-100)</f>
        <v>#N/A</v>
      </c>
      <c r="BI97" s="1" t="e">
        <f>BI93-75</f>
        <v>#N/A</v>
      </c>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row>
    <row r="98" spans="1:112" x14ac:dyDescent="0.2">
      <c r="A98" s="1"/>
      <c r="B98" s="1"/>
      <c r="C98" s="1"/>
      <c r="D98" s="1"/>
      <c r="E98" s="1"/>
      <c r="F98" s="1"/>
      <c r="G98" s="1"/>
      <c r="H98" s="1"/>
      <c r="I98" s="1"/>
      <c r="J98" s="1"/>
      <c r="K98" s="1"/>
      <c r="L98" s="1"/>
      <c r="M98" s="1"/>
      <c r="N98" s="1"/>
      <c r="O98" s="1"/>
      <c r="P98" s="1"/>
      <c r="AV98" s="1"/>
      <c r="AW98" s="1"/>
      <c r="AX98" s="1"/>
      <c r="AY98" s="1"/>
      <c r="AZ98" s="1"/>
      <c r="BA98" s="1"/>
      <c r="BB98" s="1"/>
      <c r="BC98" s="1"/>
      <c r="BD98" s="1"/>
      <c r="BE98" s="1"/>
      <c r="BF98" s="1"/>
      <c r="BG98" s="1"/>
      <c r="BH98" s="1" t="e">
        <f>BH94</f>
        <v>#N/A</v>
      </c>
      <c r="BI98" s="1" t="e">
        <f>BI94</f>
        <v>#N/A</v>
      </c>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row>
    <row r="99" spans="1:112" x14ac:dyDescent="0.2">
      <c r="A99" s="1"/>
      <c r="B99" s="1"/>
      <c r="C99" s="1"/>
      <c r="D99" s="1"/>
      <c r="E99" s="1"/>
      <c r="F99" s="1"/>
      <c r="G99" s="1"/>
      <c r="H99" s="1"/>
      <c r="I99" s="1"/>
      <c r="J99" s="1"/>
      <c r="K99" s="1"/>
      <c r="L99" s="1"/>
      <c r="M99" s="1"/>
      <c r="N99" s="1"/>
      <c r="O99" s="1"/>
      <c r="P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row>
    <row r="100" spans="1:112" x14ac:dyDescent="0.2">
      <c r="A100" s="1"/>
      <c r="B100" s="1"/>
      <c r="C100" s="1"/>
      <c r="D100" s="1"/>
      <c r="E100" s="1"/>
      <c r="F100" s="1"/>
      <c r="G100" s="1"/>
      <c r="H100" s="1"/>
      <c r="I100" s="1"/>
      <c r="J100" s="1"/>
      <c r="K100" s="1"/>
      <c r="L100" s="1"/>
      <c r="M100" s="1"/>
      <c r="N100" s="1"/>
      <c r="O100" s="1"/>
      <c r="P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row>
    <row r="101" spans="1:112" x14ac:dyDescent="0.2">
      <c r="A101" s="1"/>
      <c r="B101" s="1"/>
      <c r="C101" s="1"/>
      <c r="D101" s="1"/>
      <c r="E101" s="1"/>
      <c r="F101" s="1"/>
      <c r="G101" s="1"/>
      <c r="H101" s="1"/>
      <c r="I101" s="1"/>
      <c r="J101" s="1"/>
      <c r="K101" s="1"/>
      <c r="L101" s="1"/>
      <c r="M101" s="1"/>
      <c r="N101" s="1"/>
      <c r="O101" s="1"/>
      <c r="P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row>
    <row r="102" spans="1:112" x14ac:dyDescent="0.2">
      <c r="A102" s="1"/>
      <c r="B102" s="1"/>
      <c r="C102" s="1"/>
      <c r="D102" s="1"/>
      <c r="E102" s="1"/>
      <c r="F102" s="1"/>
      <c r="G102" s="1"/>
      <c r="H102" s="1"/>
      <c r="I102" s="1"/>
      <c r="J102" s="1"/>
      <c r="K102" s="1"/>
      <c r="L102" s="1"/>
      <c r="M102" s="1"/>
      <c r="N102" s="1"/>
      <c r="O102" s="1"/>
      <c r="P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row>
    <row r="103" spans="1:112" x14ac:dyDescent="0.2">
      <c r="A103" s="1"/>
      <c r="B103" s="1"/>
      <c r="C103" s="1"/>
      <c r="D103" s="1"/>
      <c r="E103" s="1"/>
      <c r="F103" s="1"/>
      <c r="G103" s="1"/>
      <c r="H103" s="1"/>
      <c r="I103" s="1"/>
      <c r="J103" s="1"/>
      <c r="K103" s="1"/>
      <c r="L103" s="1"/>
      <c r="M103" s="1"/>
      <c r="N103" s="1"/>
      <c r="O103" s="1"/>
      <c r="P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row>
    <row r="104" spans="1:112" x14ac:dyDescent="0.2">
      <c r="A104" s="1"/>
      <c r="B104" s="1"/>
      <c r="C104" s="1"/>
      <c r="D104" s="1"/>
      <c r="E104" s="1"/>
      <c r="F104" s="1"/>
      <c r="G104" s="1"/>
      <c r="H104" s="1"/>
      <c r="I104" s="1"/>
      <c r="J104" s="1"/>
      <c r="K104" s="1"/>
      <c r="L104" s="1"/>
      <c r="M104" s="1"/>
      <c r="N104" s="1"/>
      <c r="O104" s="1"/>
      <c r="P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row>
    <row r="105" spans="1:112" x14ac:dyDescent="0.2">
      <c r="A105" s="1"/>
      <c r="B105" s="1"/>
      <c r="C105" s="1"/>
      <c r="D105" s="1"/>
      <c r="E105" s="1"/>
      <c r="F105" s="1"/>
      <c r="G105" s="1"/>
      <c r="H105" s="1"/>
      <c r="I105" s="1"/>
      <c r="J105" s="1"/>
      <c r="K105" s="1"/>
      <c r="L105" s="1"/>
      <c r="M105" s="1"/>
      <c r="N105" s="1"/>
      <c r="O105" s="1"/>
      <c r="P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row>
    <row r="106" spans="1:112" x14ac:dyDescent="0.2">
      <c r="A106" s="1"/>
      <c r="B106" s="1"/>
      <c r="C106" s="1"/>
      <c r="D106" s="1"/>
      <c r="E106" s="1"/>
      <c r="F106" s="1"/>
      <c r="G106" s="1"/>
      <c r="H106" s="1"/>
      <c r="I106" s="1"/>
      <c r="J106" s="1"/>
      <c r="K106" s="1"/>
      <c r="L106" s="1"/>
      <c r="M106" s="1"/>
      <c r="N106" s="1"/>
      <c r="O106" s="1"/>
      <c r="P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row>
    <row r="107" spans="1:112" x14ac:dyDescent="0.2">
      <c r="A107" s="1"/>
      <c r="B107" s="1"/>
      <c r="C107" s="1"/>
      <c r="D107" s="1"/>
      <c r="E107" s="1"/>
      <c r="F107" s="1"/>
      <c r="G107" s="1"/>
      <c r="H107" s="1"/>
      <c r="I107" s="1"/>
      <c r="J107" s="1"/>
      <c r="K107" s="1"/>
      <c r="L107" s="1"/>
      <c r="M107" s="1"/>
      <c r="N107" s="1"/>
      <c r="O107" s="1"/>
      <c r="P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row>
    <row r="108" spans="1:112" x14ac:dyDescent="0.2">
      <c r="A108" s="1"/>
      <c r="B108" s="1"/>
      <c r="C108" s="1"/>
      <c r="D108" s="1"/>
      <c r="E108" s="1"/>
      <c r="F108" s="1"/>
      <c r="G108" s="1"/>
      <c r="H108" s="1"/>
      <c r="I108" s="1"/>
      <c r="J108" s="1"/>
      <c r="K108" s="1"/>
      <c r="L108" s="1"/>
      <c r="M108" s="1"/>
      <c r="N108" s="1"/>
      <c r="O108" s="1"/>
      <c r="P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row>
    <row r="109" spans="1:112" x14ac:dyDescent="0.2">
      <c r="A109" s="1"/>
      <c r="B109" s="1"/>
      <c r="C109" s="1"/>
      <c r="D109" s="1"/>
      <c r="E109" s="1"/>
      <c r="F109" s="1"/>
      <c r="G109" s="1"/>
      <c r="H109" s="1"/>
      <c r="I109" s="1"/>
      <c r="J109" s="1"/>
      <c r="K109" s="1"/>
      <c r="L109" s="1"/>
      <c r="M109" s="1"/>
      <c r="N109" s="1"/>
      <c r="O109" s="1"/>
      <c r="P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row>
    <row r="110" spans="1:112" x14ac:dyDescent="0.2">
      <c r="A110" s="1"/>
      <c r="B110" s="1"/>
      <c r="C110" s="1"/>
      <c r="D110" s="1"/>
      <c r="E110" s="1"/>
      <c r="F110" s="1"/>
      <c r="G110" s="1"/>
      <c r="H110" s="1"/>
      <c r="I110" s="1"/>
      <c r="J110" s="1"/>
      <c r="K110" s="1"/>
      <c r="L110" s="1"/>
      <c r="M110" s="1"/>
      <c r="N110" s="1"/>
      <c r="O110" s="1"/>
      <c r="P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row>
    <row r="111" spans="1:112" x14ac:dyDescent="0.2">
      <c r="A111" s="1"/>
      <c r="B111" s="1"/>
      <c r="C111" s="1"/>
      <c r="D111" s="1"/>
      <c r="E111" s="1"/>
      <c r="F111" s="1"/>
      <c r="G111" s="1"/>
      <c r="H111" s="1"/>
      <c r="I111" s="1"/>
      <c r="J111" s="1"/>
      <c r="K111" s="1"/>
      <c r="L111" s="1"/>
      <c r="M111" s="1"/>
      <c r="N111" s="1"/>
      <c r="O111" s="1"/>
      <c r="P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row>
    <row r="112" spans="1:112" x14ac:dyDescent="0.2">
      <c r="A112" s="1"/>
      <c r="B112" s="1"/>
      <c r="C112" s="1"/>
      <c r="D112" s="1"/>
      <c r="E112" s="1"/>
      <c r="F112" s="1"/>
      <c r="G112" s="1"/>
      <c r="H112" s="1"/>
      <c r="I112" s="1"/>
      <c r="J112" s="1"/>
      <c r="K112" s="1"/>
      <c r="L112" s="1"/>
      <c r="M112" s="1"/>
      <c r="N112" s="1"/>
      <c r="O112" s="1"/>
      <c r="P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row>
    <row r="113" spans="1:112" x14ac:dyDescent="0.2">
      <c r="A113" s="1"/>
      <c r="B113" s="1"/>
      <c r="C113" s="1"/>
      <c r="D113" s="1"/>
      <c r="E113" s="1"/>
      <c r="F113" s="1"/>
      <c r="G113" s="1"/>
      <c r="H113" s="1"/>
      <c r="I113" s="1"/>
      <c r="J113" s="1"/>
      <c r="K113" s="1"/>
      <c r="L113" s="1"/>
      <c r="M113" s="1"/>
      <c r="N113" s="1"/>
      <c r="O113" s="1"/>
      <c r="P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row>
    <row r="114" spans="1:112" x14ac:dyDescent="0.2">
      <c r="A114" s="1"/>
      <c r="B114" s="1"/>
      <c r="C114" s="1"/>
      <c r="D114" s="1"/>
      <c r="E114" s="1"/>
      <c r="F114" s="1"/>
      <c r="G114" s="1"/>
      <c r="H114" s="1"/>
      <c r="I114" s="1"/>
      <c r="J114" s="1"/>
      <c r="K114" s="1"/>
      <c r="L114" s="1"/>
      <c r="M114" s="1"/>
      <c r="N114" s="1"/>
      <c r="O114" s="1"/>
      <c r="P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row>
    <row r="115" spans="1:112" x14ac:dyDescent="0.2">
      <c r="A115" s="1"/>
      <c r="B115" s="1"/>
      <c r="C115" s="1"/>
      <c r="D115" s="1"/>
      <c r="E115" s="1"/>
      <c r="F115" s="1"/>
      <c r="G115" s="1"/>
      <c r="H115" s="1"/>
      <c r="I115" s="1"/>
      <c r="J115" s="1"/>
      <c r="K115" s="1"/>
      <c r="L115" s="1"/>
      <c r="M115" s="1"/>
      <c r="N115" s="1"/>
      <c r="O115" s="1"/>
      <c r="P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row>
    <row r="116" spans="1:112" x14ac:dyDescent="0.2">
      <c r="A116" s="1"/>
      <c r="B116" s="1"/>
      <c r="C116" s="1"/>
      <c r="D116" s="1"/>
      <c r="E116" s="1"/>
      <c r="F116" s="1"/>
      <c r="G116" s="1"/>
      <c r="H116" s="1"/>
      <c r="I116" s="1"/>
      <c r="J116" s="1"/>
      <c r="K116" s="1"/>
      <c r="L116" s="1"/>
      <c r="M116" s="1"/>
      <c r="N116" s="1"/>
      <c r="O116" s="1"/>
      <c r="P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row>
    <row r="117" spans="1:112" x14ac:dyDescent="0.2">
      <c r="A117" s="1"/>
      <c r="B117" s="1"/>
      <c r="C117" s="1"/>
      <c r="D117" s="1"/>
      <c r="E117" s="1"/>
      <c r="F117" s="1"/>
      <c r="G117" s="1"/>
      <c r="H117" s="1"/>
      <c r="I117" s="1"/>
      <c r="J117" s="1"/>
      <c r="K117" s="1"/>
      <c r="L117" s="1"/>
      <c r="M117" s="1"/>
      <c r="N117" s="1"/>
      <c r="O117" s="1"/>
      <c r="P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row>
    <row r="118" spans="1:112" x14ac:dyDescent="0.2">
      <c r="A118" s="1"/>
      <c r="B118" s="1"/>
      <c r="C118" s="1"/>
      <c r="D118" s="1"/>
      <c r="E118" s="1"/>
      <c r="F118" s="1"/>
      <c r="G118" s="1"/>
      <c r="H118" s="1"/>
      <c r="I118" s="1"/>
      <c r="J118" s="1"/>
      <c r="K118" s="1"/>
      <c r="L118" s="1"/>
      <c r="M118" s="1"/>
      <c r="N118" s="1"/>
      <c r="O118" s="1"/>
      <c r="P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row>
    <row r="119" spans="1:112" x14ac:dyDescent="0.2">
      <c r="A119" s="1"/>
      <c r="B119" s="1"/>
      <c r="C119" s="1"/>
      <c r="D119" s="1"/>
      <c r="E119" s="1"/>
      <c r="F119" s="1"/>
      <c r="G119" s="1"/>
      <c r="H119" s="1"/>
      <c r="I119" s="1"/>
      <c r="J119" s="1"/>
      <c r="K119" s="1"/>
      <c r="L119" s="1"/>
      <c r="M119" s="1"/>
      <c r="N119" s="1"/>
      <c r="O119" s="1"/>
      <c r="P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row>
    <row r="120" spans="1:112" x14ac:dyDescent="0.2">
      <c r="A120" s="1"/>
      <c r="B120" s="1"/>
      <c r="C120" s="1"/>
      <c r="D120" s="1"/>
      <c r="E120" s="1"/>
      <c r="F120" s="1"/>
      <c r="G120" s="1"/>
      <c r="H120" s="1"/>
      <c r="I120" s="1"/>
      <c r="J120" s="1"/>
      <c r="K120" s="1"/>
      <c r="L120" s="1"/>
      <c r="M120" s="1"/>
      <c r="N120" s="1"/>
      <c r="O120" s="1"/>
      <c r="P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row>
    <row r="121" spans="1:112" x14ac:dyDescent="0.2">
      <c r="A121" s="1"/>
      <c r="B121" s="1"/>
      <c r="C121" s="1"/>
      <c r="D121" s="1"/>
      <c r="E121" s="1"/>
      <c r="F121" s="1"/>
      <c r="G121" s="1"/>
      <c r="H121" s="1"/>
      <c r="I121" s="1"/>
      <c r="J121" s="1"/>
      <c r="K121" s="1"/>
      <c r="L121" s="1"/>
      <c r="M121" s="1"/>
      <c r="N121" s="1"/>
      <c r="O121" s="1"/>
      <c r="P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row>
    <row r="122" spans="1:112" x14ac:dyDescent="0.2">
      <c r="A122" s="1"/>
      <c r="B122" s="1"/>
      <c r="C122" s="1"/>
      <c r="D122" s="1"/>
      <c r="E122" s="1"/>
      <c r="F122" s="1"/>
      <c r="G122" s="1"/>
      <c r="H122" s="1"/>
      <c r="I122" s="1"/>
      <c r="J122" s="1"/>
      <c r="K122" s="1"/>
      <c r="L122" s="1"/>
      <c r="M122" s="1"/>
      <c r="N122" s="1"/>
      <c r="O122" s="1"/>
      <c r="P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row>
    <row r="123" spans="1:112" x14ac:dyDescent="0.2">
      <c r="A123" s="1"/>
      <c r="B123" s="1"/>
      <c r="C123" s="1"/>
      <c r="D123" s="1"/>
      <c r="E123" s="1"/>
      <c r="F123" s="1"/>
      <c r="G123" s="1"/>
      <c r="H123" s="1"/>
      <c r="I123" s="1"/>
      <c r="J123" s="1"/>
      <c r="K123" s="1"/>
      <c r="L123" s="1"/>
      <c r="M123" s="1"/>
      <c r="N123" s="1"/>
      <c r="O123" s="1"/>
      <c r="P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row>
    <row r="124" spans="1:112" x14ac:dyDescent="0.2">
      <c r="A124" s="1"/>
      <c r="B124" s="1"/>
      <c r="C124" s="1"/>
      <c r="D124" s="1"/>
      <c r="E124" s="1"/>
      <c r="F124" s="1"/>
      <c r="G124" s="1"/>
      <c r="H124" s="1"/>
      <c r="I124" s="1"/>
      <c r="J124" s="1"/>
      <c r="K124" s="1"/>
      <c r="L124" s="1"/>
      <c r="M124" s="1"/>
      <c r="N124" s="1"/>
      <c r="O124" s="1"/>
      <c r="P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row>
    <row r="125" spans="1:112" x14ac:dyDescent="0.2">
      <c r="A125" s="1"/>
      <c r="B125" s="1"/>
      <c r="C125" s="1"/>
      <c r="D125" s="1"/>
      <c r="E125" s="1"/>
      <c r="F125" s="1"/>
      <c r="G125" s="1"/>
      <c r="H125" s="1"/>
      <c r="I125" s="1"/>
      <c r="J125" s="1"/>
      <c r="K125" s="1"/>
      <c r="L125" s="1"/>
      <c r="M125" s="1"/>
      <c r="N125" s="1"/>
      <c r="O125" s="1"/>
      <c r="P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row>
    <row r="126" spans="1:112" x14ac:dyDescent="0.2">
      <c r="A126" s="1"/>
      <c r="B126" s="1"/>
      <c r="C126" s="1"/>
      <c r="D126" s="1"/>
      <c r="E126" s="1"/>
      <c r="F126" s="1"/>
      <c r="G126" s="1"/>
      <c r="H126" s="1"/>
      <c r="I126" s="1"/>
      <c r="J126" s="1"/>
      <c r="K126" s="1"/>
      <c r="L126" s="1"/>
      <c r="M126" s="1"/>
      <c r="N126" s="1"/>
      <c r="O126" s="1"/>
      <c r="P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row>
    <row r="127" spans="1:112" x14ac:dyDescent="0.2">
      <c r="A127" s="1"/>
      <c r="B127" s="1"/>
      <c r="C127" s="1"/>
      <c r="D127" s="1"/>
      <c r="E127" s="1"/>
      <c r="F127" s="1"/>
      <c r="G127" s="1"/>
      <c r="H127" s="1"/>
      <c r="I127" s="1"/>
      <c r="J127" s="1"/>
      <c r="K127" s="1"/>
      <c r="L127" s="1"/>
      <c r="M127" s="1"/>
      <c r="N127" s="1"/>
      <c r="O127" s="1"/>
      <c r="P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row>
    <row r="128" spans="1:112" x14ac:dyDescent="0.2">
      <c r="A128" s="1"/>
      <c r="B128" s="1"/>
      <c r="C128" s="1"/>
      <c r="D128" s="1"/>
      <c r="E128" s="1"/>
      <c r="F128" s="1"/>
      <c r="G128" s="1"/>
      <c r="H128" s="1"/>
      <c r="I128" s="1"/>
      <c r="J128" s="1"/>
      <c r="K128" s="1"/>
      <c r="L128" s="1"/>
      <c r="M128" s="1"/>
      <c r="N128" s="1"/>
      <c r="O128" s="1"/>
      <c r="P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row>
    <row r="129" spans="1:112" x14ac:dyDescent="0.2">
      <c r="A129" s="1"/>
      <c r="B129" s="1"/>
      <c r="C129" s="1"/>
      <c r="D129" s="1"/>
      <c r="E129" s="1"/>
      <c r="F129" s="1"/>
      <c r="G129" s="1"/>
      <c r="H129" s="1"/>
      <c r="I129" s="1"/>
      <c r="J129" s="1"/>
      <c r="K129" s="1"/>
      <c r="L129" s="1"/>
      <c r="M129" s="1"/>
      <c r="N129" s="1"/>
      <c r="O129" s="1"/>
      <c r="P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row>
    <row r="130" spans="1:112" x14ac:dyDescent="0.2">
      <c r="A130" s="1"/>
      <c r="B130" s="1"/>
      <c r="C130" s="1"/>
      <c r="D130" s="1"/>
      <c r="E130" s="1"/>
      <c r="F130" s="1"/>
      <c r="G130" s="1"/>
      <c r="H130" s="1"/>
      <c r="I130" s="1"/>
      <c r="J130" s="1"/>
      <c r="K130" s="1"/>
      <c r="L130" s="1"/>
      <c r="M130" s="1"/>
      <c r="N130" s="1"/>
      <c r="O130" s="1"/>
      <c r="P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row>
    <row r="131" spans="1:112" x14ac:dyDescent="0.2">
      <c r="A131" s="1"/>
      <c r="B131" s="1"/>
      <c r="C131" s="1"/>
      <c r="D131" s="1"/>
      <c r="E131" s="1"/>
      <c r="F131" s="1"/>
      <c r="G131" s="1"/>
      <c r="H131" s="1"/>
      <c r="I131" s="1"/>
      <c r="J131" s="1"/>
      <c r="K131" s="1"/>
      <c r="L131" s="1"/>
      <c r="M131" s="1"/>
      <c r="N131" s="1"/>
      <c r="O131" s="1"/>
      <c r="P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row>
    <row r="132" spans="1:112" x14ac:dyDescent="0.2">
      <c r="A132" s="1"/>
      <c r="B132" s="1"/>
      <c r="C132" s="1"/>
      <c r="D132" s="1"/>
      <c r="E132" s="1"/>
      <c r="F132" s="1"/>
      <c r="G132" s="1"/>
      <c r="H132" s="1"/>
      <c r="I132" s="1"/>
      <c r="J132" s="1"/>
      <c r="K132" s="1"/>
      <c r="L132" s="1"/>
      <c r="M132" s="1"/>
      <c r="N132" s="1"/>
      <c r="O132" s="1"/>
      <c r="P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row>
    <row r="133" spans="1:112" x14ac:dyDescent="0.2">
      <c r="A133" s="1"/>
      <c r="B133" s="1"/>
      <c r="C133" s="1"/>
      <c r="D133" s="1"/>
      <c r="E133" s="1"/>
      <c r="F133" s="1"/>
      <c r="G133" s="1"/>
      <c r="H133" s="1"/>
      <c r="I133" s="1"/>
      <c r="J133" s="1"/>
      <c r="K133" s="1"/>
      <c r="L133" s="1"/>
      <c r="M133" s="1"/>
      <c r="N133" s="1"/>
      <c r="O133" s="1"/>
      <c r="P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row>
    <row r="134" spans="1:112" x14ac:dyDescent="0.2">
      <c r="A134" s="1"/>
      <c r="B134" s="1"/>
      <c r="C134" s="1"/>
      <c r="D134" s="1"/>
      <c r="E134" s="1"/>
      <c r="F134" s="1"/>
      <c r="G134" s="1"/>
      <c r="H134" s="1"/>
      <c r="I134" s="1"/>
      <c r="J134" s="1"/>
      <c r="K134" s="1"/>
      <c r="L134" s="1"/>
      <c r="M134" s="1"/>
      <c r="N134" s="1"/>
      <c r="O134" s="1"/>
      <c r="P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row>
    <row r="135" spans="1:112" x14ac:dyDescent="0.2">
      <c r="A135" s="1"/>
      <c r="B135" s="1"/>
      <c r="C135" s="1"/>
      <c r="D135" s="1"/>
      <c r="E135" s="1"/>
      <c r="F135" s="1"/>
      <c r="G135" s="1"/>
      <c r="H135" s="1"/>
      <c r="I135" s="1"/>
      <c r="J135" s="1"/>
      <c r="K135" s="1"/>
      <c r="L135" s="1"/>
      <c r="M135" s="1"/>
      <c r="N135" s="1"/>
      <c r="O135" s="1"/>
      <c r="P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row>
    <row r="136" spans="1:112" x14ac:dyDescent="0.2">
      <c r="A136" s="1"/>
      <c r="B136" s="1"/>
      <c r="C136" s="1"/>
      <c r="D136" s="1"/>
      <c r="E136" s="1"/>
      <c r="F136" s="1"/>
      <c r="G136" s="1"/>
      <c r="H136" s="1"/>
      <c r="I136" s="1"/>
      <c r="J136" s="1"/>
      <c r="K136" s="1"/>
      <c r="L136" s="1"/>
      <c r="M136" s="1"/>
      <c r="N136" s="1"/>
      <c r="O136" s="1"/>
      <c r="P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row>
    <row r="137" spans="1:112" x14ac:dyDescent="0.2">
      <c r="A137" s="1"/>
      <c r="B137" s="1"/>
      <c r="C137" s="1"/>
      <c r="D137" s="1"/>
      <c r="E137" s="1"/>
      <c r="F137" s="1"/>
      <c r="G137" s="1"/>
      <c r="H137" s="1"/>
      <c r="I137" s="1"/>
      <c r="J137" s="1"/>
      <c r="K137" s="1"/>
      <c r="L137" s="1"/>
      <c r="M137" s="1"/>
      <c r="N137" s="1"/>
      <c r="O137" s="1"/>
      <c r="P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row>
    <row r="138" spans="1:112" x14ac:dyDescent="0.2">
      <c r="A138" s="1"/>
      <c r="B138" s="1"/>
      <c r="C138" s="1"/>
      <c r="D138" s="1"/>
      <c r="E138" s="1"/>
      <c r="F138" s="1"/>
      <c r="G138" s="1"/>
      <c r="H138" s="1"/>
      <c r="I138" s="1"/>
      <c r="J138" s="1"/>
      <c r="K138" s="1"/>
      <c r="L138" s="1"/>
      <c r="M138" s="1"/>
      <c r="N138" s="1"/>
      <c r="O138" s="1"/>
      <c r="P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row>
    <row r="139" spans="1:112" x14ac:dyDescent="0.2">
      <c r="A139" s="1"/>
      <c r="B139" s="1"/>
      <c r="C139" s="1"/>
      <c r="D139" s="1"/>
      <c r="E139" s="1"/>
      <c r="F139" s="1"/>
      <c r="G139" s="1"/>
      <c r="H139" s="1"/>
      <c r="I139" s="1"/>
      <c r="J139" s="1"/>
      <c r="K139" s="1"/>
      <c r="L139" s="1"/>
      <c r="M139" s="1"/>
      <c r="N139" s="1"/>
      <c r="O139" s="1"/>
      <c r="P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row>
    <row r="140" spans="1:112" x14ac:dyDescent="0.2">
      <c r="A140" s="1"/>
      <c r="B140" s="1"/>
      <c r="C140" s="1"/>
      <c r="D140" s="1"/>
      <c r="E140" s="1"/>
      <c r="F140" s="1"/>
      <c r="G140" s="1"/>
      <c r="H140" s="1"/>
      <c r="I140" s="1"/>
      <c r="J140" s="1"/>
      <c r="K140" s="1"/>
      <c r="L140" s="1"/>
      <c r="M140" s="1"/>
      <c r="N140" s="1"/>
      <c r="O140" s="1"/>
      <c r="P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row>
    <row r="141" spans="1:112" x14ac:dyDescent="0.2">
      <c r="A141" s="1"/>
      <c r="B141" s="1"/>
      <c r="C141" s="1"/>
      <c r="D141" s="1"/>
      <c r="E141" s="1"/>
      <c r="F141" s="1"/>
      <c r="G141" s="1"/>
      <c r="H141" s="1"/>
      <c r="I141" s="1"/>
      <c r="J141" s="1"/>
      <c r="K141" s="1"/>
      <c r="L141" s="1"/>
      <c r="M141" s="1"/>
      <c r="N141" s="1"/>
      <c r="O141" s="1"/>
      <c r="P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row>
    <row r="142" spans="1:112" x14ac:dyDescent="0.2">
      <c r="A142" s="1"/>
      <c r="B142" s="1"/>
      <c r="C142" s="1"/>
      <c r="D142" s="1"/>
      <c r="E142" s="1"/>
      <c r="F142" s="1"/>
      <c r="G142" s="1"/>
      <c r="H142" s="1"/>
      <c r="I142" s="1"/>
      <c r="J142" s="1"/>
      <c r="K142" s="1"/>
      <c r="L142" s="1"/>
      <c r="M142" s="1"/>
      <c r="N142" s="1"/>
      <c r="O142" s="1"/>
      <c r="P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row>
    <row r="143" spans="1:112" x14ac:dyDescent="0.2">
      <c r="A143" s="1"/>
      <c r="B143" s="1"/>
      <c r="C143" s="1"/>
      <c r="D143" s="1"/>
      <c r="E143" s="1"/>
      <c r="F143" s="1"/>
      <c r="G143" s="1"/>
      <c r="H143" s="1"/>
      <c r="I143" s="1"/>
      <c r="J143" s="1"/>
      <c r="K143" s="1"/>
      <c r="L143" s="1"/>
      <c r="M143" s="1"/>
      <c r="N143" s="1"/>
      <c r="O143" s="1"/>
      <c r="P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row>
    <row r="144" spans="1:112" x14ac:dyDescent="0.2">
      <c r="A144" s="1"/>
      <c r="B144" s="1"/>
      <c r="C144" s="1"/>
      <c r="D144" s="1"/>
      <c r="E144" s="1"/>
      <c r="F144" s="1"/>
      <c r="G144" s="1"/>
      <c r="H144" s="1"/>
      <c r="I144" s="1"/>
      <c r="J144" s="1"/>
      <c r="K144" s="1"/>
      <c r="L144" s="1"/>
      <c r="M144" s="1"/>
      <c r="N144" s="1"/>
      <c r="O144" s="1"/>
      <c r="P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row>
    <row r="145" spans="1:112" x14ac:dyDescent="0.2">
      <c r="A145" s="1"/>
      <c r="B145" s="1"/>
      <c r="C145" s="1"/>
      <c r="D145" s="1"/>
      <c r="E145" s="1"/>
      <c r="F145" s="1"/>
      <c r="G145" s="1"/>
      <c r="H145" s="1"/>
      <c r="I145" s="1"/>
      <c r="J145" s="1"/>
      <c r="K145" s="1"/>
      <c r="L145" s="1"/>
      <c r="M145" s="1"/>
      <c r="N145" s="1"/>
      <c r="O145" s="1"/>
      <c r="P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row>
    <row r="146" spans="1:112" x14ac:dyDescent="0.2">
      <c r="A146" s="1"/>
      <c r="B146" s="1"/>
      <c r="C146" s="1"/>
      <c r="D146" s="1"/>
      <c r="E146" s="1"/>
      <c r="F146" s="1"/>
      <c r="G146" s="1"/>
      <c r="H146" s="1"/>
      <c r="I146" s="1"/>
      <c r="J146" s="1"/>
      <c r="K146" s="1"/>
      <c r="L146" s="1"/>
      <c r="M146" s="1"/>
      <c r="N146" s="1"/>
      <c r="O146" s="1"/>
      <c r="P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row>
    <row r="147" spans="1:112" x14ac:dyDescent="0.2">
      <c r="A147" s="1"/>
      <c r="B147" s="1"/>
      <c r="C147" s="1"/>
      <c r="D147" s="1"/>
      <c r="E147" s="1"/>
      <c r="F147" s="1"/>
      <c r="G147" s="1"/>
      <c r="H147" s="1"/>
      <c r="I147" s="1"/>
      <c r="J147" s="1"/>
      <c r="K147" s="1"/>
      <c r="L147" s="1"/>
      <c r="M147" s="1"/>
      <c r="N147" s="1"/>
      <c r="O147" s="1"/>
      <c r="P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row>
    <row r="148" spans="1:112" x14ac:dyDescent="0.2">
      <c r="A148" s="1"/>
      <c r="B148" s="1"/>
      <c r="C148" s="1"/>
      <c r="D148" s="1"/>
      <c r="E148" s="1"/>
      <c r="F148" s="1"/>
      <c r="G148" s="1"/>
      <c r="H148" s="1"/>
      <c r="I148" s="1"/>
      <c r="J148" s="1"/>
      <c r="K148" s="1"/>
      <c r="L148" s="1"/>
      <c r="M148" s="1"/>
      <c r="N148" s="1"/>
      <c r="O148" s="1"/>
      <c r="P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row>
    <row r="149" spans="1:112" x14ac:dyDescent="0.2">
      <c r="A149" s="1"/>
      <c r="B149" s="1"/>
      <c r="C149" s="1"/>
      <c r="D149" s="1"/>
      <c r="E149" s="1"/>
      <c r="F149" s="1"/>
      <c r="G149" s="1"/>
      <c r="H149" s="1"/>
      <c r="I149" s="1"/>
      <c r="J149" s="1"/>
      <c r="K149" s="1"/>
      <c r="L149" s="1"/>
      <c r="M149" s="1"/>
      <c r="N149" s="1"/>
      <c r="O149" s="1"/>
      <c r="P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row>
    <row r="150" spans="1:112" x14ac:dyDescent="0.2">
      <c r="A150" s="1"/>
      <c r="B150" s="1"/>
      <c r="C150" s="1"/>
      <c r="D150" s="1"/>
      <c r="E150" s="1"/>
      <c r="F150" s="1"/>
      <c r="G150" s="1"/>
      <c r="H150" s="1"/>
      <c r="I150" s="1"/>
      <c r="J150" s="1"/>
      <c r="K150" s="1"/>
      <c r="L150" s="1"/>
      <c r="M150" s="1"/>
      <c r="N150" s="1"/>
      <c r="O150" s="1"/>
      <c r="P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row>
    <row r="151" spans="1:112" x14ac:dyDescent="0.2">
      <c r="A151" s="1"/>
      <c r="B151" s="1"/>
      <c r="C151" s="1"/>
      <c r="D151" s="1"/>
      <c r="E151" s="1"/>
      <c r="F151" s="1"/>
      <c r="G151" s="1"/>
      <c r="H151" s="1"/>
      <c r="I151" s="1"/>
      <c r="J151" s="1"/>
      <c r="K151" s="1"/>
      <c r="L151" s="1"/>
      <c r="M151" s="1"/>
      <c r="N151" s="1"/>
      <c r="O151" s="1"/>
      <c r="P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row>
    <row r="152" spans="1:112" x14ac:dyDescent="0.2">
      <c r="A152" s="1"/>
      <c r="B152" s="1"/>
      <c r="C152" s="1"/>
      <c r="D152" s="1"/>
      <c r="E152" s="1"/>
      <c r="F152" s="1"/>
      <c r="G152" s="1"/>
      <c r="H152" s="1"/>
      <c r="I152" s="1"/>
      <c r="J152" s="1"/>
      <c r="K152" s="1"/>
      <c r="L152" s="1"/>
      <c r="M152" s="1"/>
      <c r="N152" s="1"/>
      <c r="O152" s="1"/>
      <c r="P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row>
    <row r="153" spans="1:112" x14ac:dyDescent="0.2">
      <c r="A153" s="1"/>
      <c r="B153" s="1"/>
      <c r="C153" s="1"/>
      <c r="D153" s="1"/>
      <c r="E153" s="1"/>
      <c r="F153" s="1"/>
      <c r="G153" s="1"/>
      <c r="H153" s="1"/>
      <c r="I153" s="1"/>
      <c r="J153" s="1"/>
      <c r="K153" s="1"/>
      <c r="L153" s="1"/>
      <c r="M153" s="1"/>
      <c r="N153" s="1"/>
      <c r="O153" s="1"/>
      <c r="P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row>
    <row r="154" spans="1:112" x14ac:dyDescent="0.2">
      <c r="A154" s="1"/>
      <c r="B154" s="1"/>
      <c r="C154" s="1"/>
      <c r="D154" s="1"/>
      <c r="E154" s="1"/>
      <c r="F154" s="1"/>
      <c r="G154" s="1"/>
      <c r="H154" s="1"/>
      <c r="I154" s="1"/>
      <c r="J154" s="1"/>
      <c r="K154" s="1"/>
      <c r="L154" s="1"/>
      <c r="M154" s="1"/>
      <c r="N154" s="1"/>
      <c r="O154" s="1"/>
      <c r="P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row>
    <row r="155" spans="1:112" x14ac:dyDescent="0.2">
      <c r="A155" s="1"/>
      <c r="B155" s="1"/>
      <c r="C155" s="1"/>
      <c r="D155" s="1"/>
      <c r="E155" s="1"/>
      <c r="F155" s="1"/>
      <c r="G155" s="1"/>
      <c r="H155" s="1"/>
      <c r="I155" s="1"/>
      <c r="J155" s="1"/>
      <c r="K155" s="1"/>
      <c r="L155" s="1"/>
      <c r="M155" s="1"/>
      <c r="N155" s="1"/>
      <c r="O155" s="1"/>
      <c r="P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row>
    <row r="156" spans="1:112" x14ac:dyDescent="0.2">
      <c r="A156" s="1"/>
      <c r="B156" s="1"/>
      <c r="C156" s="1"/>
      <c r="D156" s="1"/>
      <c r="E156" s="1"/>
      <c r="F156" s="1"/>
      <c r="G156" s="1"/>
      <c r="H156" s="1"/>
      <c r="I156" s="1"/>
      <c r="J156" s="1"/>
      <c r="K156" s="1"/>
      <c r="L156" s="1"/>
      <c r="M156" s="1"/>
      <c r="N156" s="1"/>
      <c r="O156" s="1"/>
      <c r="P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row>
    <row r="157" spans="1:112" x14ac:dyDescent="0.2">
      <c r="A157" s="1"/>
      <c r="B157" s="1"/>
      <c r="C157" s="1"/>
      <c r="D157" s="1"/>
      <c r="E157" s="1"/>
      <c r="F157" s="1"/>
      <c r="G157" s="1"/>
      <c r="H157" s="1"/>
      <c r="I157" s="1"/>
      <c r="J157" s="1"/>
      <c r="K157" s="1"/>
      <c r="L157" s="1"/>
      <c r="M157" s="1"/>
      <c r="N157" s="1"/>
      <c r="O157" s="1"/>
      <c r="P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row>
    <row r="158" spans="1:112" x14ac:dyDescent="0.2">
      <c r="A158" s="1"/>
      <c r="B158" s="1"/>
      <c r="C158" s="1"/>
      <c r="D158" s="1"/>
      <c r="E158" s="1"/>
      <c r="F158" s="1"/>
      <c r="G158" s="1"/>
      <c r="H158" s="1"/>
      <c r="I158" s="1"/>
      <c r="J158" s="1"/>
      <c r="K158" s="1"/>
      <c r="L158" s="1"/>
      <c r="M158" s="1"/>
      <c r="N158" s="1"/>
      <c r="O158" s="1"/>
      <c r="P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row>
    <row r="159" spans="1:112" x14ac:dyDescent="0.2">
      <c r="A159" s="1"/>
      <c r="B159" s="1"/>
      <c r="C159" s="1"/>
      <c r="D159" s="1"/>
      <c r="E159" s="1"/>
      <c r="F159" s="1"/>
      <c r="G159" s="1"/>
      <c r="H159" s="1"/>
      <c r="I159" s="1"/>
      <c r="J159" s="1"/>
      <c r="K159" s="1"/>
      <c r="L159" s="1"/>
      <c r="M159" s="1"/>
      <c r="N159" s="1"/>
      <c r="O159" s="1"/>
      <c r="P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row>
    <row r="160" spans="1:112" x14ac:dyDescent="0.2">
      <c r="A160" s="1"/>
      <c r="B160" s="1"/>
      <c r="C160" s="1"/>
      <c r="D160" s="1"/>
      <c r="E160" s="1"/>
      <c r="F160" s="1"/>
      <c r="G160" s="1"/>
      <c r="H160" s="1"/>
      <c r="I160" s="1"/>
      <c r="J160" s="1"/>
      <c r="K160" s="1"/>
      <c r="L160" s="1"/>
      <c r="M160" s="1"/>
      <c r="N160" s="1"/>
      <c r="O160" s="1"/>
      <c r="P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row>
    <row r="161" spans="1:112" x14ac:dyDescent="0.2">
      <c r="A161" s="1"/>
      <c r="B161" s="1"/>
      <c r="C161" s="1"/>
      <c r="D161" s="1"/>
      <c r="E161" s="1"/>
      <c r="F161" s="1"/>
      <c r="G161" s="1"/>
      <c r="H161" s="1"/>
      <c r="I161" s="1"/>
      <c r="J161" s="1"/>
      <c r="K161" s="1"/>
      <c r="L161" s="1"/>
      <c r="M161" s="1"/>
      <c r="N161" s="1"/>
      <c r="O161" s="1"/>
      <c r="P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row>
    <row r="162" spans="1:112" x14ac:dyDescent="0.2">
      <c r="A162" s="1"/>
      <c r="B162" s="1"/>
      <c r="C162" s="1"/>
      <c r="D162" s="1"/>
      <c r="E162" s="1"/>
      <c r="F162" s="1"/>
      <c r="G162" s="1"/>
      <c r="H162" s="1"/>
      <c r="I162" s="1"/>
      <c r="J162" s="1"/>
      <c r="K162" s="1"/>
      <c r="L162" s="1"/>
      <c r="M162" s="1"/>
      <c r="N162" s="1"/>
      <c r="O162" s="1"/>
      <c r="P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row>
    <row r="163" spans="1:112" x14ac:dyDescent="0.2">
      <c r="A163" s="1"/>
      <c r="B163" s="1"/>
      <c r="C163" s="1"/>
      <c r="D163" s="1"/>
      <c r="E163" s="1"/>
      <c r="F163" s="1"/>
      <c r="G163" s="1"/>
      <c r="H163" s="1"/>
      <c r="I163" s="1"/>
      <c r="J163" s="1"/>
      <c r="K163" s="1"/>
      <c r="L163" s="1"/>
      <c r="M163" s="1"/>
      <c r="N163" s="1"/>
      <c r="O163" s="1"/>
      <c r="P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row>
    <row r="164" spans="1:112" x14ac:dyDescent="0.2">
      <c r="A164" s="1"/>
      <c r="B164" s="1"/>
      <c r="C164" s="1"/>
      <c r="D164" s="1"/>
      <c r="E164" s="1"/>
      <c r="F164" s="1"/>
      <c r="G164" s="1"/>
      <c r="H164" s="1"/>
      <c r="I164" s="1"/>
      <c r="J164" s="1"/>
      <c r="K164" s="1"/>
      <c r="L164" s="1"/>
      <c r="M164" s="1"/>
      <c r="N164" s="1"/>
      <c r="O164" s="1"/>
      <c r="P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row>
    <row r="165" spans="1:112" x14ac:dyDescent="0.2">
      <c r="A165" s="1"/>
      <c r="B165" s="1"/>
      <c r="C165" s="1"/>
      <c r="D165" s="1"/>
      <c r="E165" s="1"/>
      <c r="F165" s="1"/>
      <c r="G165" s="1"/>
      <c r="H165" s="1"/>
      <c r="I165" s="1"/>
      <c r="J165" s="1"/>
      <c r="K165" s="1"/>
      <c r="L165" s="1"/>
      <c r="M165" s="1"/>
      <c r="N165" s="1"/>
      <c r="O165" s="1"/>
      <c r="P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row>
    <row r="166" spans="1:112" x14ac:dyDescent="0.2">
      <c r="A166" s="1"/>
      <c r="B166" s="1"/>
      <c r="C166" s="1"/>
      <c r="D166" s="1"/>
      <c r="E166" s="1"/>
      <c r="F166" s="1"/>
      <c r="G166" s="1"/>
      <c r="H166" s="1"/>
      <c r="I166" s="1"/>
      <c r="J166" s="1"/>
      <c r="K166" s="1"/>
      <c r="L166" s="1"/>
      <c r="M166" s="1"/>
      <c r="N166" s="1"/>
      <c r="O166" s="1"/>
      <c r="P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row>
    <row r="167" spans="1:112" x14ac:dyDescent="0.2">
      <c r="A167" s="1"/>
      <c r="B167" s="1"/>
      <c r="C167" s="1"/>
      <c r="D167" s="1"/>
      <c r="E167" s="1"/>
      <c r="F167" s="1"/>
      <c r="G167" s="1"/>
      <c r="H167" s="1"/>
      <c r="I167" s="1"/>
      <c r="J167" s="1"/>
      <c r="K167" s="1"/>
      <c r="L167" s="1"/>
      <c r="M167" s="1"/>
      <c r="N167" s="1"/>
      <c r="O167" s="1"/>
      <c r="P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row>
    <row r="168" spans="1:112" x14ac:dyDescent="0.2">
      <c r="A168" s="1"/>
      <c r="B168" s="1"/>
      <c r="C168" s="1"/>
      <c r="D168" s="1"/>
      <c r="E168" s="1"/>
      <c r="F168" s="1"/>
      <c r="G168" s="1"/>
      <c r="H168" s="1"/>
      <c r="I168" s="1"/>
      <c r="J168" s="1"/>
      <c r="K168" s="1"/>
      <c r="L168" s="1"/>
      <c r="M168" s="1"/>
      <c r="N168" s="1"/>
      <c r="O168" s="1"/>
      <c r="P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row>
    <row r="169" spans="1:112" x14ac:dyDescent="0.2">
      <c r="A169" s="1"/>
      <c r="B169" s="1"/>
      <c r="C169" s="1"/>
      <c r="D169" s="1"/>
      <c r="E169" s="1"/>
      <c r="F169" s="1"/>
      <c r="G169" s="1"/>
      <c r="H169" s="1"/>
      <c r="I169" s="1"/>
      <c r="J169" s="1"/>
      <c r="K169" s="1"/>
      <c r="L169" s="1"/>
      <c r="M169" s="1"/>
      <c r="N169" s="1"/>
      <c r="O169" s="1"/>
      <c r="P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row>
    <row r="170" spans="1:112" x14ac:dyDescent="0.2">
      <c r="A170" s="1"/>
      <c r="B170" s="1"/>
      <c r="C170" s="1"/>
      <c r="D170" s="1"/>
      <c r="E170" s="1"/>
      <c r="F170" s="1"/>
      <c r="G170" s="1"/>
      <c r="H170" s="1"/>
      <c r="I170" s="1"/>
      <c r="J170" s="1"/>
      <c r="K170" s="1"/>
      <c r="L170" s="1"/>
      <c r="M170" s="1"/>
      <c r="N170" s="1"/>
      <c r="O170" s="1"/>
      <c r="P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row>
    <row r="171" spans="1:112" x14ac:dyDescent="0.2">
      <c r="A171" s="1"/>
      <c r="B171" s="1"/>
      <c r="C171" s="1"/>
      <c r="D171" s="1"/>
      <c r="E171" s="1"/>
      <c r="F171" s="1"/>
      <c r="G171" s="1"/>
      <c r="H171" s="1"/>
      <c r="I171" s="1"/>
      <c r="J171" s="1"/>
      <c r="K171" s="1"/>
      <c r="L171" s="1"/>
      <c r="M171" s="1"/>
      <c r="N171" s="1"/>
      <c r="O171" s="1"/>
      <c r="P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row>
    <row r="172" spans="1:112" x14ac:dyDescent="0.2">
      <c r="A172" s="1"/>
      <c r="B172" s="1"/>
      <c r="C172" s="1"/>
      <c r="D172" s="1"/>
      <c r="E172" s="1"/>
      <c r="F172" s="1"/>
      <c r="G172" s="1"/>
      <c r="H172" s="1"/>
      <c r="I172" s="1"/>
      <c r="J172" s="1"/>
      <c r="K172" s="1"/>
      <c r="L172" s="1"/>
      <c r="M172" s="1"/>
      <c r="N172" s="1"/>
      <c r="O172" s="1"/>
      <c r="P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row>
    <row r="173" spans="1:112" x14ac:dyDescent="0.2">
      <c r="A173" s="1"/>
      <c r="B173" s="1"/>
      <c r="C173" s="1"/>
      <c r="D173" s="1"/>
      <c r="E173" s="1"/>
      <c r="F173" s="1"/>
      <c r="G173" s="1"/>
      <c r="H173" s="1"/>
      <c r="I173" s="1"/>
      <c r="J173" s="1"/>
      <c r="K173" s="1"/>
      <c r="L173" s="1"/>
      <c r="M173" s="1"/>
      <c r="N173" s="1"/>
      <c r="O173" s="1"/>
      <c r="P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row>
    <row r="174" spans="1:112" x14ac:dyDescent="0.2">
      <c r="A174" s="1"/>
      <c r="B174" s="1"/>
      <c r="C174" s="1"/>
      <c r="D174" s="1"/>
      <c r="E174" s="1"/>
      <c r="F174" s="1"/>
      <c r="G174" s="1"/>
      <c r="H174" s="1"/>
      <c r="I174" s="1"/>
      <c r="J174" s="1"/>
      <c r="K174" s="1"/>
      <c r="L174" s="1"/>
      <c r="M174" s="1"/>
      <c r="N174" s="1"/>
      <c r="O174" s="1"/>
      <c r="P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row>
    <row r="175" spans="1:112" x14ac:dyDescent="0.2">
      <c r="A175" s="1"/>
      <c r="B175" s="1"/>
      <c r="C175" s="1"/>
      <c r="D175" s="1"/>
      <c r="E175" s="1"/>
      <c r="F175" s="1"/>
      <c r="G175" s="1"/>
      <c r="H175" s="1"/>
      <c r="I175" s="1"/>
      <c r="J175" s="1"/>
      <c r="K175" s="1"/>
      <c r="L175" s="1"/>
      <c r="M175" s="1"/>
      <c r="N175" s="1"/>
      <c r="O175" s="1"/>
      <c r="P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row>
    <row r="176" spans="1:112" x14ac:dyDescent="0.2">
      <c r="A176" s="1"/>
      <c r="B176" s="1"/>
      <c r="C176" s="1"/>
      <c r="D176" s="1"/>
      <c r="E176" s="1"/>
      <c r="F176" s="1"/>
      <c r="G176" s="1"/>
      <c r="H176" s="1"/>
      <c r="I176" s="1"/>
      <c r="J176" s="1"/>
      <c r="K176" s="1"/>
      <c r="L176" s="1"/>
      <c r="M176" s="1"/>
      <c r="N176" s="1"/>
      <c r="O176" s="1"/>
      <c r="P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row>
    <row r="177" spans="1:112" x14ac:dyDescent="0.2">
      <c r="A177" s="1"/>
      <c r="B177" s="1"/>
      <c r="C177" s="1"/>
      <c r="D177" s="1"/>
      <c r="E177" s="1"/>
      <c r="F177" s="1"/>
      <c r="G177" s="1"/>
      <c r="H177" s="1"/>
      <c r="I177" s="1"/>
      <c r="J177" s="1"/>
      <c r="K177" s="1"/>
      <c r="L177" s="1"/>
      <c r="M177" s="1"/>
      <c r="N177" s="1"/>
      <c r="O177" s="1"/>
      <c r="P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row>
    <row r="178" spans="1:112" x14ac:dyDescent="0.2">
      <c r="A178" s="1"/>
      <c r="B178" s="1"/>
      <c r="C178" s="1"/>
      <c r="D178" s="1"/>
      <c r="E178" s="1"/>
      <c r="F178" s="1"/>
      <c r="G178" s="1"/>
      <c r="H178" s="1"/>
      <c r="I178" s="1"/>
      <c r="J178" s="1"/>
      <c r="K178" s="1"/>
      <c r="L178" s="1"/>
      <c r="M178" s="1"/>
      <c r="N178" s="1"/>
      <c r="O178" s="1"/>
      <c r="P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row>
    <row r="179" spans="1:112" x14ac:dyDescent="0.2">
      <c r="A179" s="1"/>
      <c r="B179" s="1"/>
      <c r="C179" s="1"/>
      <c r="D179" s="1"/>
      <c r="E179" s="1"/>
      <c r="F179" s="1"/>
      <c r="G179" s="1"/>
      <c r="H179" s="1"/>
      <c r="I179" s="1"/>
      <c r="J179" s="1"/>
      <c r="K179" s="1"/>
      <c r="L179" s="1"/>
      <c r="M179" s="1"/>
      <c r="N179" s="1"/>
      <c r="O179" s="1"/>
      <c r="P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row>
    <row r="180" spans="1:112" x14ac:dyDescent="0.2">
      <c r="A180" s="1"/>
      <c r="B180" s="1"/>
      <c r="C180" s="1"/>
      <c r="D180" s="1"/>
      <c r="E180" s="1"/>
      <c r="F180" s="1"/>
      <c r="G180" s="1"/>
      <c r="H180" s="1"/>
      <c r="I180" s="1"/>
      <c r="J180" s="1"/>
      <c r="K180" s="1"/>
      <c r="L180" s="1"/>
      <c r="M180" s="1"/>
      <c r="N180" s="1"/>
      <c r="O180" s="1"/>
      <c r="P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row>
    <row r="181" spans="1:112" x14ac:dyDescent="0.2">
      <c r="A181" s="1"/>
      <c r="B181" s="1"/>
      <c r="C181" s="1"/>
      <c r="D181" s="1"/>
      <c r="E181" s="1"/>
      <c r="F181" s="1"/>
      <c r="G181" s="1"/>
      <c r="H181" s="1"/>
      <c r="I181" s="1"/>
      <c r="J181" s="1"/>
      <c r="K181" s="1"/>
      <c r="L181" s="1"/>
      <c r="M181" s="1"/>
      <c r="N181" s="1"/>
      <c r="O181" s="1"/>
      <c r="P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row>
    <row r="182" spans="1:112" x14ac:dyDescent="0.2">
      <c r="A182" s="1"/>
      <c r="B182" s="1"/>
      <c r="C182" s="1"/>
      <c r="D182" s="1"/>
      <c r="E182" s="1"/>
      <c r="F182" s="1"/>
      <c r="G182" s="1"/>
      <c r="H182" s="1"/>
      <c r="I182" s="1"/>
      <c r="J182" s="1"/>
      <c r="K182" s="1"/>
      <c r="L182" s="1"/>
      <c r="M182" s="1"/>
      <c r="N182" s="1"/>
      <c r="O182" s="1"/>
      <c r="P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row>
    <row r="183" spans="1:112" x14ac:dyDescent="0.2">
      <c r="A183" s="1"/>
      <c r="B183" s="1"/>
      <c r="C183" s="1"/>
      <c r="D183" s="1"/>
      <c r="E183" s="1"/>
      <c r="F183" s="1"/>
      <c r="G183" s="1"/>
      <c r="H183" s="1"/>
      <c r="I183" s="1"/>
      <c r="J183" s="1"/>
      <c r="K183" s="1"/>
      <c r="L183" s="1"/>
      <c r="M183" s="1"/>
      <c r="N183" s="1"/>
      <c r="O183" s="1"/>
      <c r="P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row>
    <row r="184" spans="1:112" x14ac:dyDescent="0.2">
      <c r="A184" s="1"/>
      <c r="B184" s="1"/>
      <c r="C184" s="1"/>
      <c r="D184" s="1"/>
      <c r="E184" s="1"/>
      <c r="F184" s="1"/>
      <c r="G184" s="1"/>
      <c r="H184" s="1"/>
      <c r="I184" s="1"/>
      <c r="J184" s="1"/>
      <c r="K184" s="1"/>
      <c r="L184" s="1"/>
      <c r="M184" s="1"/>
      <c r="N184" s="1"/>
      <c r="O184" s="1"/>
      <c r="P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row>
    <row r="185" spans="1:112" x14ac:dyDescent="0.2">
      <c r="A185" s="1"/>
      <c r="B185" s="1"/>
      <c r="C185" s="1"/>
      <c r="D185" s="1"/>
      <c r="E185" s="1"/>
      <c r="F185" s="1"/>
      <c r="G185" s="1"/>
      <c r="H185" s="1"/>
      <c r="I185" s="1"/>
      <c r="J185" s="1"/>
      <c r="K185" s="1"/>
      <c r="L185" s="1"/>
      <c r="M185" s="1"/>
      <c r="N185" s="1"/>
      <c r="O185" s="1"/>
      <c r="P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row>
    <row r="186" spans="1:112" x14ac:dyDescent="0.2">
      <c r="A186" s="1"/>
      <c r="B186" s="1"/>
      <c r="C186" s="1"/>
      <c r="D186" s="1"/>
      <c r="E186" s="1"/>
      <c r="F186" s="1"/>
      <c r="G186" s="1"/>
      <c r="H186" s="1"/>
      <c r="I186" s="1"/>
      <c r="J186" s="1"/>
      <c r="K186" s="1"/>
      <c r="L186" s="1"/>
      <c r="M186" s="1"/>
      <c r="N186" s="1"/>
      <c r="O186" s="1"/>
      <c r="P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row>
    <row r="187" spans="1:112" x14ac:dyDescent="0.2">
      <c r="A187" s="1"/>
      <c r="B187" s="1"/>
      <c r="C187" s="1"/>
      <c r="D187" s="1"/>
      <c r="E187" s="1"/>
      <c r="F187" s="1"/>
      <c r="G187" s="1"/>
      <c r="H187" s="1"/>
      <c r="I187" s="1"/>
      <c r="J187" s="1"/>
      <c r="K187" s="1"/>
      <c r="L187" s="1"/>
      <c r="M187" s="1"/>
      <c r="N187" s="1"/>
      <c r="O187" s="1"/>
      <c r="P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row>
    <row r="188" spans="1:112" x14ac:dyDescent="0.2">
      <c r="A188" s="1"/>
      <c r="B188" s="1"/>
      <c r="C188" s="1"/>
      <c r="D188" s="1"/>
      <c r="E188" s="1"/>
      <c r="F188" s="1"/>
      <c r="G188" s="1"/>
      <c r="H188" s="1"/>
      <c r="I188" s="1"/>
      <c r="J188" s="1"/>
      <c r="K188" s="1"/>
      <c r="L188" s="1"/>
      <c r="M188" s="1"/>
      <c r="N188" s="1"/>
      <c r="O188" s="1"/>
      <c r="P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row>
    <row r="189" spans="1:112" x14ac:dyDescent="0.2">
      <c r="A189" s="1"/>
      <c r="B189" s="1"/>
      <c r="C189" s="1"/>
      <c r="D189" s="1"/>
      <c r="E189" s="1"/>
      <c r="F189" s="1"/>
      <c r="G189" s="1"/>
      <c r="H189" s="1"/>
      <c r="I189" s="1"/>
      <c r="J189" s="1"/>
      <c r="K189" s="1"/>
      <c r="L189" s="1"/>
      <c r="M189" s="1"/>
      <c r="N189" s="1"/>
      <c r="O189" s="1"/>
      <c r="P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row>
    <row r="190" spans="1:112" x14ac:dyDescent="0.2">
      <c r="A190" s="1"/>
      <c r="B190" s="1"/>
      <c r="C190" s="1"/>
      <c r="D190" s="1"/>
      <c r="E190" s="1"/>
      <c r="F190" s="1"/>
      <c r="G190" s="1"/>
      <c r="H190" s="1"/>
      <c r="I190" s="1"/>
      <c r="J190" s="1"/>
      <c r="K190" s="1"/>
      <c r="L190" s="1"/>
      <c r="M190" s="1"/>
      <c r="N190" s="1"/>
      <c r="O190" s="1"/>
      <c r="P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row>
    <row r="191" spans="1:112" x14ac:dyDescent="0.2">
      <c r="A191" s="1"/>
      <c r="B191" s="1"/>
      <c r="C191" s="1"/>
      <c r="D191" s="1"/>
      <c r="E191" s="1"/>
      <c r="F191" s="1"/>
      <c r="G191" s="1"/>
      <c r="H191" s="1"/>
      <c r="I191" s="1"/>
      <c r="J191" s="1"/>
      <c r="K191" s="1"/>
      <c r="L191" s="1"/>
      <c r="M191" s="1"/>
      <c r="N191" s="1"/>
      <c r="O191" s="1"/>
      <c r="P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row>
    <row r="192" spans="1:112" x14ac:dyDescent="0.2">
      <c r="A192" s="1"/>
      <c r="B192" s="1"/>
      <c r="C192" s="1"/>
      <c r="D192" s="1"/>
      <c r="E192" s="1"/>
      <c r="F192" s="1"/>
      <c r="G192" s="1"/>
      <c r="H192" s="1"/>
      <c r="I192" s="1"/>
      <c r="J192" s="1"/>
      <c r="K192" s="1"/>
      <c r="L192" s="1"/>
      <c r="M192" s="1"/>
      <c r="N192" s="1"/>
      <c r="O192" s="1"/>
      <c r="P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row>
    <row r="193" spans="1:112" x14ac:dyDescent="0.2">
      <c r="A193" s="1"/>
      <c r="B193" s="1"/>
      <c r="C193" s="1"/>
      <c r="D193" s="1"/>
      <c r="E193" s="1"/>
      <c r="F193" s="1"/>
      <c r="G193" s="1"/>
      <c r="H193" s="1"/>
      <c r="I193" s="1"/>
      <c r="J193" s="1"/>
      <c r="K193" s="1"/>
      <c r="L193" s="1"/>
      <c r="M193" s="1"/>
      <c r="N193" s="1"/>
      <c r="O193" s="1"/>
      <c r="P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row>
    <row r="194" spans="1:112" x14ac:dyDescent="0.2">
      <c r="A194" s="1"/>
      <c r="B194" s="1"/>
      <c r="C194" s="1"/>
      <c r="D194" s="1"/>
      <c r="E194" s="1"/>
      <c r="F194" s="1"/>
      <c r="G194" s="1"/>
      <c r="H194" s="1"/>
      <c r="I194" s="1"/>
      <c r="J194" s="1"/>
      <c r="K194" s="1"/>
      <c r="L194" s="1"/>
      <c r="M194" s="1"/>
      <c r="N194" s="1"/>
      <c r="O194" s="1"/>
      <c r="P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row>
    <row r="195" spans="1:112" x14ac:dyDescent="0.2">
      <c r="A195" s="1"/>
      <c r="B195" s="1"/>
      <c r="C195" s="1"/>
      <c r="D195" s="1"/>
      <c r="E195" s="1"/>
      <c r="F195" s="1"/>
      <c r="G195" s="1"/>
      <c r="H195" s="1"/>
      <c r="I195" s="1"/>
      <c r="J195" s="1"/>
      <c r="K195" s="1"/>
      <c r="L195" s="1"/>
      <c r="M195" s="1"/>
      <c r="N195" s="1"/>
      <c r="O195" s="1"/>
      <c r="P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row>
    <row r="196" spans="1:112" x14ac:dyDescent="0.2">
      <c r="A196" s="1"/>
      <c r="B196" s="1"/>
      <c r="C196" s="1"/>
      <c r="D196" s="1"/>
      <c r="E196" s="1"/>
      <c r="F196" s="1"/>
      <c r="G196" s="1"/>
      <c r="H196" s="1"/>
      <c r="I196" s="1"/>
      <c r="J196" s="1"/>
      <c r="K196" s="1"/>
      <c r="L196" s="1"/>
      <c r="M196" s="1"/>
      <c r="N196" s="1"/>
      <c r="O196" s="1"/>
      <c r="P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row>
    <row r="197" spans="1:112" x14ac:dyDescent="0.2">
      <c r="A197" s="1"/>
      <c r="B197" s="1"/>
      <c r="C197" s="1"/>
      <c r="D197" s="1"/>
      <c r="E197" s="1"/>
      <c r="F197" s="1"/>
      <c r="G197" s="1"/>
      <c r="H197" s="1"/>
      <c r="I197" s="1"/>
      <c r="J197" s="1"/>
      <c r="K197" s="1"/>
      <c r="L197" s="1"/>
      <c r="M197" s="1"/>
      <c r="N197" s="1"/>
      <c r="O197" s="1"/>
      <c r="P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row>
    <row r="198" spans="1:112" x14ac:dyDescent="0.2">
      <c r="A198" s="1"/>
      <c r="B198" s="1"/>
      <c r="C198" s="1"/>
      <c r="D198" s="1"/>
      <c r="E198" s="1"/>
      <c r="F198" s="1"/>
      <c r="G198" s="1"/>
      <c r="H198" s="1"/>
      <c r="I198" s="1"/>
      <c r="J198" s="1"/>
      <c r="K198" s="1"/>
      <c r="L198" s="1"/>
      <c r="M198" s="1"/>
      <c r="N198" s="1"/>
      <c r="O198" s="1"/>
      <c r="P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row>
    <row r="199" spans="1:112" x14ac:dyDescent="0.2">
      <c r="A199" s="1"/>
      <c r="B199" s="1"/>
      <c r="C199" s="1"/>
      <c r="D199" s="1"/>
      <c r="E199" s="1"/>
      <c r="F199" s="1"/>
      <c r="G199" s="1"/>
      <c r="H199" s="1"/>
      <c r="I199" s="1"/>
      <c r="J199" s="1"/>
      <c r="K199" s="1"/>
      <c r="L199" s="1"/>
      <c r="M199" s="1"/>
      <c r="N199" s="1"/>
      <c r="O199" s="1"/>
      <c r="P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row>
    <row r="200" spans="1:112" x14ac:dyDescent="0.2">
      <c r="A200" s="1"/>
      <c r="B200" s="1"/>
      <c r="C200" s="1"/>
      <c r="D200" s="1"/>
      <c r="E200" s="1"/>
      <c r="F200" s="1"/>
      <c r="G200" s="1"/>
      <c r="H200" s="1"/>
      <c r="I200" s="1"/>
      <c r="J200" s="1"/>
      <c r="K200" s="1"/>
      <c r="L200" s="1"/>
      <c r="M200" s="1"/>
      <c r="N200" s="1"/>
      <c r="O200" s="1"/>
      <c r="P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row>
    <row r="201" spans="1:112" x14ac:dyDescent="0.2">
      <c r="A201" s="1"/>
      <c r="B201" s="1"/>
      <c r="C201" s="1"/>
      <c r="D201" s="1"/>
      <c r="E201" s="1"/>
      <c r="F201" s="1"/>
      <c r="G201" s="1"/>
      <c r="H201" s="1"/>
      <c r="I201" s="1"/>
      <c r="J201" s="1"/>
      <c r="K201" s="1"/>
      <c r="L201" s="1"/>
      <c r="M201" s="1"/>
      <c r="N201" s="1"/>
      <c r="O201" s="1"/>
      <c r="P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row>
    <row r="202" spans="1:112" x14ac:dyDescent="0.2">
      <c r="A202" s="1"/>
      <c r="B202" s="1"/>
      <c r="C202" s="1"/>
      <c r="D202" s="1"/>
      <c r="E202" s="1"/>
      <c r="F202" s="1"/>
      <c r="G202" s="1"/>
      <c r="H202" s="1"/>
      <c r="I202" s="1"/>
      <c r="J202" s="1"/>
      <c r="K202" s="1"/>
      <c r="L202" s="1"/>
      <c r="M202" s="1"/>
      <c r="N202" s="1"/>
      <c r="O202" s="1"/>
      <c r="P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row>
    <row r="203" spans="1:112" x14ac:dyDescent="0.2">
      <c r="A203" s="1"/>
      <c r="B203" s="1"/>
      <c r="C203" s="1"/>
      <c r="D203" s="1"/>
      <c r="E203" s="1"/>
      <c r="F203" s="1"/>
      <c r="G203" s="1"/>
      <c r="H203" s="1"/>
      <c r="I203" s="1"/>
      <c r="J203" s="1"/>
      <c r="K203" s="1"/>
      <c r="L203" s="1"/>
      <c r="M203" s="1"/>
      <c r="N203" s="1"/>
      <c r="O203" s="1"/>
      <c r="P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row>
    <row r="204" spans="1:112" x14ac:dyDescent="0.2">
      <c r="A204" s="1"/>
      <c r="B204" s="1"/>
      <c r="C204" s="1"/>
      <c r="D204" s="1"/>
      <c r="E204" s="1"/>
      <c r="F204" s="1"/>
      <c r="G204" s="1"/>
      <c r="H204" s="1"/>
      <c r="I204" s="1"/>
      <c r="J204" s="1"/>
      <c r="K204" s="1"/>
      <c r="L204" s="1"/>
      <c r="M204" s="1"/>
      <c r="N204" s="1"/>
      <c r="O204" s="1"/>
      <c r="P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row>
    <row r="205" spans="1:112" x14ac:dyDescent="0.2">
      <c r="A205" s="1"/>
      <c r="B205" s="1"/>
      <c r="C205" s="1"/>
      <c r="D205" s="1"/>
      <c r="E205" s="1"/>
      <c r="F205" s="1"/>
      <c r="G205" s="1"/>
      <c r="H205" s="1"/>
      <c r="I205" s="1"/>
      <c r="J205" s="1"/>
      <c r="K205" s="1"/>
      <c r="L205" s="1"/>
      <c r="M205" s="1"/>
      <c r="N205" s="1"/>
      <c r="O205" s="1"/>
      <c r="P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row>
    <row r="206" spans="1:112" x14ac:dyDescent="0.2">
      <c r="A206" s="1"/>
      <c r="B206" s="1"/>
      <c r="C206" s="1"/>
      <c r="D206" s="1"/>
      <c r="E206" s="1"/>
      <c r="F206" s="1"/>
      <c r="G206" s="1"/>
      <c r="H206" s="1"/>
      <c r="I206" s="1"/>
      <c r="J206" s="1"/>
      <c r="K206" s="1"/>
      <c r="L206" s="1"/>
      <c r="M206" s="1"/>
      <c r="N206" s="1"/>
      <c r="O206" s="1"/>
      <c r="P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row>
    <row r="207" spans="1:112" x14ac:dyDescent="0.2">
      <c r="A207" s="1"/>
      <c r="B207" s="1"/>
      <c r="C207" s="1"/>
      <c r="D207" s="1"/>
      <c r="E207" s="1"/>
      <c r="F207" s="1"/>
      <c r="G207" s="1"/>
      <c r="H207" s="1"/>
      <c r="I207" s="1"/>
      <c r="J207" s="1"/>
      <c r="K207" s="1"/>
      <c r="L207" s="1"/>
      <c r="M207" s="1"/>
      <c r="N207" s="1"/>
      <c r="O207" s="1"/>
      <c r="P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row>
    <row r="208" spans="1:112" x14ac:dyDescent="0.2">
      <c r="A208" s="1"/>
      <c r="B208" s="1"/>
      <c r="C208" s="1"/>
      <c r="D208" s="1"/>
      <c r="E208" s="1"/>
      <c r="F208" s="1"/>
      <c r="G208" s="1"/>
      <c r="H208" s="1"/>
      <c r="I208" s="1"/>
      <c r="J208" s="1"/>
      <c r="K208" s="1"/>
      <c r="L208" s="1"/>
      <c r="M208" s="1"/>
      <c r="N208" s="1"/>
      <c r="O208" s="1"/>
      <c r="P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row>
    <row r="209" spans="1:112" x14ac:dyDescent="0.2">
      <c r="A209" s="1"/>
      <c r="B209" s="1"/>
      <c r="C209" s="1"/>
      <c r="D209" s="1"/>
      <c r="E209" s="1"/>
      <c r="F209" s="1"/>
      <c r="G209" s="1"/>
      <c r="H209" s="1"/>
      <c r="I209" s="1"/>
      <c r="J209" s="1"/>
      <c r="K209" s="1"/>
      <c r="L209" s="1"/>
      <c r="M209" s="1"/>
      <c r="N209" s="1"/>
      <c r="O209" s="1"/>
      <c r="P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row>
    <row r="210" spans="1:112" x14ac:dyDescent="0.2">
      <c r="A210" s="1"/>
      <c r="B210" s="1"/>
      <c r="C210" s="1"/>
      <c r="D210" s="1"/>
      <c r="E210" s="1"/>
      <c r="F210" s="1"/>
      <c r="G210" s="1"/>
      <c r="H210" s="1"/>
      <c r="I210" s="1"/>
      <c r="J210" s="1"/>
      <c r="K210" s="1"/>
      <c r="L210" s="1"/>
      <c r="M210" s="1"/>
      <c r="N210" s="1"/>
      <c r="O210" s="1"/>
      <c r="P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row>
    <row r="211" spans="1:112" x14ac:dyDescent="0.2">
      <c r="A211" s="1"/>
      <c r="B211" s="1"/>
      <c r="C211" s="1"/>
      <c r="D211" s="1"/>
      <c r="E211" s="1"/>
      <c r="F211" s="1"/>
      <c r="G211" s="1"/>
      <c r="H211" s="1"/>
      <c r="I211" s="1"/>
      <c r="J211" s="1"/>
      <c r="K211" s="1"/>
      <c r="L211" s="1"/>
      <c r="M211" s="1"/>
      <c r="N211" s="1"/>
      <c r="O211" s="1"/>
      <c r="P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row>
    <row r="212" spans="1:112" x14ac:dyDescent="0.2">
      <c r="A212" s="1"/>
      <c r="B212" s="1"/>
      <c r="C212" s="1"/>
      <c r="D212" s="1"/>
      <c r="E212" s="1"/>
      <c r="F212" s="1"/>
      <c r="G212" s="1"/>
      <c r="H212" s="1"/>
      <c r="I212" s="1"/>
      <c r="J212" s="1"/>
      <c r="K212" s="1"/>
      <c r="L212" s="1"/>
      <c r="M212" s="1"/>
      <c r="N212" s="1"/>
      <c r="O212" s="1"/>
      <c r="P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row>
    <row r="213" spans="1:112" x14ac:dyDescent="0.2">
      <c r="A213" s="1"/>
      <c r="B213" s="1"/>
      <c r="C213" s="1"/>
      <c r="D213" s="1"/>
      <c r="E213" s="1"/>
      <c r="F213" s="1"/>
      <c r="G213" s="1"/>
      <c r="H213" s="1"/>
      <c r="I213" s="1"/>
      <c r="J213" s="1"/>
      <c r="K213" s="1"/>
      <c r="L213" s="1"/>
      <c r="M213" s="1"/>
      <c r="N213" s="1"/>
      <c r="O213" s="1"/>
      <c r="P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row>
    <row r="214" spans="1:112" x14ac:dyDescent="0.2">
      <c r="A214" s="1"/>
      <c r="B214" s="1"/>
      <c r="C214" s="1"/>
      <c r="D214" s="1"/>
      <c r="E214" s="1"/>
      <c r="F214" s="1"/>
      <c r="G214" s="1"/>
      <c r="H214" s="1"/>
      <c r="I214" s="1"/>
      <c r="J214" s="1"/>
      <c r="K214" s="1"/>
      <c r="L214" s="1"/>
      <c r="M214" s="1"/>
      <c r="N214" s="1"/>
      <c r="O214" s="1"/>
      <c r="P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row>
    <row r="215" spans="1:112" x14ac:dyDescent="0.2">
      <c r="A215" s="1"/>
      <c r="B215" s="1"/>
      <c r="C215" s="1"/>
      <c r="D215" s="1"/>
      <c r="E215" s="1"/>
      <c r="F215" s="1"/>
      <c r="G215" s="1"/>
      <c r="H215" s="1"/>
      <c r="I215" s="1"/>
      <c r="J215" s="1"/>
      <c r="K215" s="1"/>
      <c r="L215" s="1"/>
      <c r="M215" s="1"/>
      <c r="N215" s="1"/>
      <c r="O215" s="1"/>
      <c r="P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row>
    <row r="216" spans="1:112" x14ac:dyDescent="0.2">
      <c r="A216" s="1"/>
      <c r="B216" s="1"/>
      <c r="C216" s="1"/>
      <c r="D216" s="1"/>
      <c r="E216" s="1"/>
      <c r="F216" s="1"/>
      <c r="G216" s="1"/>
      <c r="H216" s="1"/>
      <c r="I216" s="1"/>
      <c r="J216" s="1"/>
      <c r="K216" s="1"/>
      <c r="L216" s="1"/>
      <c r="M216" s="1"/>
      <c r="N216" s="1"/>
      <c r="O216" s="1"/>
      <c r="P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row>
    <row r="217" spans="1:112" x14ac:dyDescent="0.2">
      <c r="A217" s="1"/>
      <c r="B217" s="1"/>
      <c r="C217" s="1"/>
      <c r="D217" s="1"/>
      <c r="E217" s="1"/>
      <c r="F217" s="1"/>
      <c r="G217" s="1"/>
      <c r="H217" s="1"/>
      <c r="I217" s="1"/>
      <c r="J217" s="1"/>
      <c r="K217" s="1"/>
      <c r="L217" s="1"/>
      <c r="M217" s="1"/>
      <c r="N217" s="1"/>
      <c r="O217" s="1"/>
      <c r="P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row>
    <row r="218" spans="1:112" x14ac:dyDescent="0.2">
      <c r="A218" s="1"/>
      <c r="B218" s="1"/>
      <c r="C218" s="1"/>
      <c r="D218" s="1"/>
      <c r="E218" s="1"/>
      <c r="F218" s="1"/>
      <c r="G218" s="1"/>
      <c r="H218" s="1"/>
      <c r="I218" s="1"/>
      <c r="J218" s="1"/>
      <c r="K218" s="1"/>
      <c r="L218" s="1"/>
      <c r="M218" s="1"/>
      <c r="N218" s="1"/>
      <c r="O218" s="1"/>
      <c r="P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row>
    <row r="219" spans="1:112" x14ac:dyDescent="0.2">
      <c r="A219" s="1"/>
      <c r="B219" s="1"/>
      <c r="C219" s="1"/>
      <c r="D219" s="1"/>
      <c r="E219" s="1"/>
      <c r="F219" s="1"/>
      <c r="G219" s="1"/>
      <c r="H219" s="1"/>
      <c r="I219" s="1"/>
      <c r="J219" s="1"/>
      <c r="K219" s="1"/>
      <c r="L219" s="1"/>
      <c r="M219" s="1"/>
      <c r="N219" s="1"/>
      <c r="O219" s="1"/>
      <c r="P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row>
    <row r="220" spans="1:112" x14ac:dyDescent="0.2">
      <c r="A220" s="1"/>
      <c r="B220" s="1"/>
      <c r="C220" s="1"/>
      <c r="D220" s="1"/>
      <c r="E220" s="1"/>
      <c r="F220" s="1"/>
      <c r="G220" s="1"/>
      <c r="H220" s="1"/>
      <c r="I220" s="1"/>
      <c r="J220" s="1"/>
      <c r="K220" s="1"/>
      <c r="L220" s="1"/>
      <c r="M220" s="1"/>
      <c r="N220" s="1"/>
      <c r="O220" s="1"/>
      <c r="P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row>
    <row r="221" spans="1:112" x14ac:dyDescent="0.2">
      <c r="A221" s="1"/>
      <c r="B221" s="1"/>
      <c r="C221" s="1"/>
      <c r="D221" s="1"/>
      <c r="E221" s="1"/>
      <c r="F221" s="1"/>
      <c r="G221" s="1"/>
      <c r="H221" s="1"/>
      <c r="I221" s="1"/>
      <c r="J221" s="1"/>
      <c r="K221" s="1"/>
      <c r="L221" s="1"/>
      <c r="M221" s="1"/>
      <c r="N221" s="1"/>
      <c r="O221" s="1"/>
      <c r="P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row>
    <row r="222" spans="1:112" x14ac:dyDescent="0.2">
      <c r="A222" s="1"/>
      <c r="B222" s="1"/>
      <c r="C222" s="1"/>
      <c r="D222" s="1"/>
      <c r="E222" s="1"/>
      <c r="F222" s="1"/>
      <c r="G222" s="1"/>
      <c r="H222" s="1"/>
      <c r="I222" s="1"/>
      <c r="J222" s="1"/>
      <c r="K222" s="1"/>
      <c r="L222" s="1"/>
      <c r="M222" s="1"/>
      <c r="N222" s="1"/>
      <c r="O222" s="1"/>
      <c r="P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row>
    <row r="223" spans="1:112" x14ac:dyDescent="0.2">
      <c r="A223" s="1"/>
      <c r="B223" s="1"/>
      <c r="C223" s="1"/>
      <c r="D223" s="1"/>
      <c r="E223" s="1"/>
      <c r="F223" s="1"/>
      <c r="G223" s="1"/>
      <c r="H223" s="1"/>
      <c r="I223" s="1"/>
      <c r="J223" s="1"/>
      <c r="K223" s="1"/>
      <c r="L223" s="1"/>
      <c r="M223" s="1"/>
      <c r="N223" s="1"/>
      <c r="O223" s="1"/>
      <c r="P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row>
    <row r="224" spans="1:112" x14ac:dyDescent="0.2">
      <c r="A224" s="1"/>
      <c r="B224" s="1"/>
      <c r="C224" s="1"/>
      <c r="D224" s="1"/>
      <c r="E224" s="1"/>
      <c r="F224" s="1"/>
      <c r="G224" s="1"/>
      <c r="H224" s="1"/>
      <c r="I224" s="1"/>
      <c r="J224" s="1"/>
      <c r="K224" s="1"/>
      <c r="L224" s="1"/>
      <c r="M224" s="1"/>
      <c r="N224" s="1"/>
      <c r="O224" s="1"/>
      <c r="P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row>
    <row r="225" spans="1:112" x14ac:dyDescent="0.2">
      <c r="A225" s="1"/>
      <c r="B225" s="1"/>
      <c r="C225" s="1"/>
      <c r="D225" s="1"/>
      <c r="E225" s="1"/>
      <c r="F225" s="1"/>
      <c r="G225" s="1"/>
      <c r="H225" s="1"/>
      <c r="I225" s="1"/>
      <c r="J225" s="1"/>
      <c r="K225" s="1"/>
      <c r="L225" s="1"/>
      <c r="M225" s="1"/>
      <c r="N225" s="1"/>
      <c r="O225" s="1"/>
      <c r="P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row>
    <row r="226" spans="1:112" x14ac:dyDescent="0.2">
      <c r="A226" s="1"/>
      <c r="B226" s="1"/>
      <c r="C226" s="1"/>
      <c r="D226" s="1"/>
      <c r="E226" s="1"/>
      <c r="F226" s="1"/>
      <c r="G226" s="1"/>
      <c r="H226" s="1"/>
      <c r="I226" s="1"/>
      <c r="J226" s="1"/>
      <c r="K226" s="1"/>
      <c r="L226" s="1"/>
      <c r="M226" s="1"/>
      <c r="N226" s="1"/>
      <c r="O226" s="1"/>
      <c r="P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row>
  </sheetData>
  <mergeCells count="23">
    <mergeCell ref="C3:D3"/>
    <mergeCell ref="F3:L3"/>
    <mergeCell ref="C4:D4"/>
    <mergeCell ref="F4:L4"/>
    <mergeCell ref="C5:D5"/>
    <mergeCell ref="F5:L5"/>
    <mergeCell ref="I25:N25"/>
    <mergeCell ref="C7:F7"/>
    <mergeCell ref="C9:D9"/>
    <mergeCell ref="H9:I9"/>
    <mergeCell ref="C20:F21"/>
    <mergeCell ref="I20:J20"/>
    <mergeCell ref="I21:N21"/>
    <mergeCell ref="I26:N26"/>
    <mergeCell ref="D56:N58"/>
    <mergeCell ref="C61:O61"/>
    <mergeCell ref="C63:O63"/>
    <mergeCell ref="C64:O72"/>
    <mergeCell ref="BD21:BE21"/>
    <mergeCell ref="I22:N22"/>
    <mergeCell ref="C23:F23"/>
    <mergeCell ref="I23:N23"/>
    <mergeCell ref="I24:N24"/>
  </mergeCells>
  <dataValidations count="4">
    <dataValidation type="list" allowBlank="1" showErrorMessage="1" sqref="K11:L18" xr:uid="{00000000-0002-0000-0400-000000000000}">
      <formula1>$BB$42:$BB$45</formula1>
      <formula2>0</formula2>
    </dataValidation>
    <dataValidation type="list" allowBlank="1" showErrorMessage="1" sqref="F62" xr:uid="{00000000-0002-0000-0400-000001000000}">
      <formula1>$BB$52:$BB$56</formula1>
      <formula2>0</formula2>
    </dataValidation>
    <dataValidation type="list" allowBlank="1" showErrorMessage="1" sqref="F5:L5" xr:uid="{00000000-0002-0000-0400-000002000000}">
      <formula1>$AW$42:$AW$96</formula1>
      <formula2>0</formula2>
    </dataValidation>
    <dataValidation type="list" allowBlank="1" showErrorMessage="1" sqref="L19" xr:uid="{00000000-0002-0000-0400-000003000000}">
      <formula1>$T$20:$T$22</formula1>
      <formula2>0</formula2>
    </dataValidation>
  </dataValidations>
  <pageMargins left="0.55138888888888893" right="0.55138888888888893" top="0.78749999999999998" bottom="0.78749999999999998" header="0.51180555555555551" footer="0.51180555555555551"/>
  <pageSetup paperSize="9" scale="81" firstPageNumber="0" orientation="portrait" horizontalDpi="300" verticalDpi="300"/>
  <headerFooter alignWithMargins="0">
    <oddHeader>&amp;L&amp;"Arial,Bold"&amp;16ABGAL ShadeCALC Console&amp;R&amp;D</oddHeader>
    <oddFooter>&amp;CCREATED BY ABGAL LINERS AND COVERS © 2005</oddFooter>
  </headerFooter>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Details</vt:lpstr>
      <vt:lpstr>Main</vt:lpstr>
      <vt:lpstr>Print</vt:lpstr>
      <vt:lpstr>SaveControl</vt:lpstr>
      <vt:lpstr>shade check</vt:lpstr>
      <vt:lpstr>Cablestyle</vt:lpstr>
      <vt:lpstr>HEIGHT</vt:lpstr>
      <vt:lpstr>Details!Print_Area</vt:lpstr>
      <vt:lpstr>Main!Print_Area</vt:lpstr>
      <vt:lpstr>Print!Print_Area</vt:lpstr>
      <vt:lpstr>'shade check'!Print_Area</vt:lpstr>
      <vt:lpstr>X</vt:lpstr>
      <vt:lp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Metromobile</dc:creator>
  <cp:lastModifiedBy>Rhea Norris</cp:lastModifiedBy>
  <cp:lastPrinted>2020-03-05T05:35:13Z</cp:lastPrinted>
  <dcterms:created xsi:type="dcterms:W3CDTF">2011-05-16T04:09:25Z</dcterms:created>
  <dcterms:modified xsi:type="dcterms:W3CDTF">2026-04-23T03:36:27Z</dcterms:modified>
</cp:coreProperties>
</file>